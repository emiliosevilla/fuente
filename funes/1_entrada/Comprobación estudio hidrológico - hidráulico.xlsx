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emiliosevillaortego/Documents/OPOSICIÓN CAMINOS/OEP 2023-2024/General/"/>
    </mc:Choice>
  </mc:AlternateContent>
  <xr:revisionPtr revIDLastSave="0" documentId="8_{FF34D668-F0DD-8344-99BD-12EB256F697A}" xr6:coauthVersionLast="47" xr6:coauthVersionMax="47" xr10:uidLastSave="{00000000-0000-0000-0000-000000000000}"/>
  <bookViews>
    <workbookView xWindow="0" yWindow="620" windowWidth="25600" windowHeight="15940" tabRatio="883" xr2:uid="{14DA0067-8170-654C-99E4-2740FE0D1DA0}"/>
  </bookViews>
  <sheets>
    <sheet name="Datos de la cuenca" sheetId="1" r:id="rId1"/>
    <sheet name="Mapa Isolíneas" sheetId="8" r:id="rId2"/>
    <sheet name="Tabla 7.1 Máximas lluvias" sheetId="7" r:id="rId3"/>
    <sheet name="Táblas 2.1 Instrucción 5.2.IC" sheetId="5" r:id="rId4"/>
    <sheet name="Tabla 2.2 Instrucción 5.2.IC" sheetId="6" r:id="rId5"/>
    <sheet name="Cálculo Hidrológico" sheetId="4" r:id="rId6"/>
    <sheet name="Cálculo Hidráulico" sheetId="3" r:id="rId7"/>
  </sheets>
  <definedNames>
    <definedName name="TABLE" localSheetId="3">'Táblas 2.1 Instrucción 5.2.IC'!$A$5:$G$40</definedName>
    <definedName name="TABLE_2" localSheetId="3">'Táblas 2.1 Instrucción 5.2.IC'!$A$46:$C$53</definedName>
    <definedName name="TABLE_3" localSheetId="3">'Tabla 2.2 Instrucción 5.2.IC'!$A$4:$E$15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3" i="3" l="1"/>
  <c r="D97" i="3"/>
  <c r="F97" i="3" s="1"/>
  <c r="B103" i="3" s="1"/>
  <c r="C103" i="3" s="1"/>
  <c r="E103" i="3" s="1"/>
  <c r="E97" i="3"/>
  <c r="H15" i="4"/>
  <c r="E33" i="4"/>
  <c r="G36" i="4" s="1"/>
  <c r="H36" i="4"/>
  <c r="H20" i="4"/>
  <c r="F17" i="1"/>
  <c r="E6" i="4" s="1"/>
  <c r="G27" i="4" s="1"/>
  <c r="G15" i="4"/>
  <c r="G20" i="4"/>
  <c r="F15" i="4"/>
  <c r="F36" i="4" s="1"/>
  <c r="E15" i="4"/>
  <c r="E36" i="4"/>
  <c r="E20" i="4"/>
  <c r="G69" i="3"/>
  <c r="G70" i="3"/>
  <c r="E71" i="3"/>
  <c r="G71" i="3"/>
  <c r="G73" i="3"/>
  <c r="C79" i="3" s="1"/>
  <c r="F69" i="3"/>
  <c r="F73" i="3" s="1"/>
  <c r="H73" i="3" s="1"/>
  <c r="F39" i="3"/>
  <c r="G39" i="3"/>
  <c r="H39" i="3"/>
  <c r="C45" i="3"/>
  <c r="D45" i="3"/>
  <c r="B83" i="3"/>
  <c r="B61" i="3"/>
  <c r="B62" i="3"/>
  <c r="F70" i="3"/>
  <c r="F71" i="3"/>
  <c r="B45" i="3"/>
  <c r="C83" i="3" l="1"/>
  <c r="D83" i="3" s="1"/>
  <c r="G43" i="4"/>
  <c r="G45" i="3" s="1"/>
  <c r="F103" i="3"/>
  <c r="H103" i="3"/>
  <c r="H27" i="4"/>
  <c r="H43" i="4" s="1"/>
  <c r="E27" i="4"/>
  <c r="E43" i="4"/>
  <c r="F20" i="4"/>
  <c r="F27" i="4" s="1"/>
  <c r="F43" i="4" s="1"/>
  <c r="E45" i="3"/>
  <c r="F45" i="3" l="1"/>
  <c r="G103" i="3"/>
  <c r="H45" i="3"/>
  <c r="I103" i="3"/>
  <c r="E83" i="3"/>
  <c r="H83" i="3"/>
  <c r="F83" i="3"/>
  <c r="G83" i="3"/>
</calcChain>
</file>

<file path=xl/sharedStrings.xml><?xml version="1.0" encoding="utf-8"?>
<sst xmlns="http://schemas.openxmlformats.org/spreadsheetml/2006/main" count="445" uniqueCount="273">
  <si>
    <t>Coeficiente de escorrentía</t>
  </si>
  <si>
    <t>C</t>
  </si>
  <si>
    <t>Precipitaciones</t>
  </si>
  <si>
    <t>Tiempo de concentración</t>
  </si>
  <si>
    <t>tc = 0,3 * ( L / j ^ (1/4) ) ^ 0,76</t>
  </si>
  <si>
    <t>Mapa isolíneas</t>
  </si>
  <si>
    <t>Valor medio de la máxima precipitación diaria anual</t>
  </si>
  <si>
    <t>Precipitación diaria máxima para el periodo de retorno considerado</t>
  </si>
  <si>
    <t>Pd (mm/día)</t>
  </si>
  <si>
    <t>Pmed (mm/día)</t>
  </si>
  <si>
    <t>Cv</t>
  </si>
  <si>
    <t>Coeficiente de variación</t>
  </si>
  <si>
    <t>T (años)</t>
  </si>
  <si>
    <t xml:space="preserve">Periodo de retorno </t>
  </si>
  <si>
    <t>Kt</t>
  </si>
  <si>
    <t>Factor de amplificación</t>
  </si>
  <si>
    <t>Pd = Pmed * Kt</t>
  </si>
  <si>
    <t>Intensidades de lluvia</t>
  </si>
  <si>
    <t>Id (mm/h)</t>
  </si>
  <si>
    <t>Intensidad media diaria de precipitación para el periodo de retorno T y en un intervalo igual a 1 día</t>
  </si>
  <si>
    <t>Id = Pd / 24</t>
  </si>
  <si>
    <t>I1 (mm/h)</t>
  </si>
  <si>
    <t>Intensidad media diaria de precipitación para el periodo de retorno T y en un intervalo igual a tc</t>
  </si>
  <si>
    <t>I1 / Id</t>
  </si>
  <si>
    <t>Figura 2.2 Instrucción 5.2-I.C.</t>
  </si>
  <si>
    <t>It (mm/h)</t>
  </si>
  <si>
    <t>It = Id * ( I1/Id ) ^ ( ( 1,4 - tc ^ 0,1 ) / 0,4 )</t>
  </si>
  <si>
    <t>Umbral de escorentía estimado</t>
  </si>
  <si>
    <t>Ko</t>
  </si>
  <si>
    <t>Coeficiente corrector</t>
  </si>
  <si>
    <t>Po = Poo * Ko</t>
  </si>
  <si>
    <t>Umbral de escorrentía definitivo</t>
  </si>
  <si>
    <t>Poo (mm/día)</t>
  </si>
  <si>
    <t>Po (mm/día)</t>
  </si>
  <si>
    <t>C = (Pd/Po - 1) * (Pd/Po + 23) / (Pd/Po + 11 )^2</t>
  </si>
  <si>
    <t>Q = C * A * It / K</t>
  </si>
  <si>
    <t>Área cuenca asociada</t>
  </si>
  <si>
    <t>L</t>
  </si>
  <si>
    <t>cm</t>
  </si>
  <si>
    <t>cd</t>
  </si>
  <si>
    <t>A</t>
  </si>
  <si>
    <t>tc (horas)</t>
  </si>
  <si>
    <t>Poo</t>
  </si>
  <si>
    <t>T = 100</t>
  </si>
  <si>
    <t>T = 50</t>
  </si>
  <si>
    <t>T = 25</t>
  </si>
  <si>
    <t>T = 500</t>
  </si>
  <si>
    <t>Q (m3/seg)</t>
  </si>
  <si>
    <t>Expediente</t>
  </si>
  <si>
    <t>Intensidad media diaria de precipitación para el periodo de retorno T y en un intervalo igual a 1 h</t>
  </si>
  <si>
    <t>n</t>
  </si>
  <si>
    <t>Tipo</t>
  </si>
  <si>
    <t>Pm</t>
  </si>
  <si>
    <t>II</t>
  </si>
  <si>
    <t>Tabla 2-1  5.2-I.C.</t>
  </si>
  <si>
    <t>Figura 2.5  5.2-I.C.</t>
  </si>
  <si>
    <t>RÉGIMEN UNIFORME EN SECCIONES CON LÁMINA LIBRE</t>
  </si>
  <si>
    <t>v = 1/n * Rh ^ 2/3 * i ^ 1/2</t>
  </si>
  <si>
    <t>Fórmula de Manning</t>
  </si>
  <si>
    <t>Coeficiente de Manning</t>
  </si>
  <si>
    <t>Sección</t>
  </si>
  <si>
    <t>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</si>
  <si>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</si>
  <si>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</si>
  <si>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</si>
  <si>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</si>
  <si>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</si>
  <si>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</si>
  <si>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</si>
  <si>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</si>
  <si>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</si>
  <si>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</si>
  <si>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madera muy bien cepillada o canales de laboratorio</t>
  </si>
  <si>
    <t>acero</t>
  </si>
  <si>
    <t>madera cepillada</t>
  </si>
  <si>
    <t>fundición nueva, hormigón muy liso</t>
  </si>
  <si>
    <t>hormigón con moldes metálicos</t>
  </si>
  <si>
    <t>hormigón con moldes de madera, madera con cubrejuntas, gunitado</t>
  </si>
  <si>
    <t>hormigón deteriorado</t>
  </si>
  <si>
    <t>albañilería (piedra y ladrillo)</t>
  </si>
  <si>
    <t>tierra</t>
  </si>
  <si>
    <t>roca</t>
  </si>
  <si>
    <t>cauces naturales</t>
  </si>
  <si>
    <t>cauces naturales en crecidas</t>
  </si>
  <si>
    <t>inundaciones en planicies con obstáculos</t>
  </si>
  <si>
    <t>XIII</t>
  </si>
  <si>
    <t>Sección trapecial simple</t>
  </si>
  <si>
    <t>base solera</t>
  </si>
  <si>
    <t>talud margen izquierda</t>
  </si>
  <si>
    <t>talud margen derecha</t>
  </si>
  <si>
    <t>Sección mojada</t>
  </si>
  <si>
    <t>Perímetro mojado</t>
  </si>
  <si>
    <t>Radio Hidráulico</t>
  </si>
  <si>
    <t>b (m)</t>
  </si>
  <si>
    <t>ti (tanto por uno)</t>
  </si>
  <si>
    <t>td (tanto por uno)</t>
  </si>
  <si>
    <t>S (m2)</t>
  </si>
  <si>
    <t>P (m)</t>
  </si>
  <si>
    <t>R (m)</t>
  </si>
  <si>
    <t>b</t>
  </si>
  <si>
    <t>ti</t>
  </si>
  <si>
    <t>td</t>
  </si>
  <si>
    <t>calado</t>
  </si>
  <si>
    <t>h (m)</t>
  </si>
  <si>
    <t>h</t>
  </si>
  <si>
    <t>Datos de la sección</t>
  </si>
  <si>
    <t>Resultado de capacidad</t>
  </si>
  <si>
    <t>pendiente</t>
  </si>
  <si>
    <t>tipo de sección</t>
  </si>
  <si>
    <t>i (tanto por uno)</t>
  </si>
  <si>
    <t>i</t>
  </si>
  <si>
    <t>tipo</t>
  </si>
  <si>
    <t>velocidad</t>
  </si>
  <si>
    <t>v (m/seg)</t>
  </si>
  <si>
    <t>caudal</t>
  </si>
  <si>
    <t>Sección trapecial compuesta</t>
  </si>
  <si>
    <t>Q = ∑ Qi</t>
  </si>
  <si>
    <t>S = ∑ Si</t>
  </si>
  <si>
    <t>P = ∑ Pi</t>
  </si>
  <si>
    <t>Pi</t>
  </si>
  <si>
    <t>Perímetro mojado contacto agua - contorno</t>
  </si>
  <si>
    <t>El contacto agua - agua no se contabiliza</t>
  </si>
  <si>
    <t>bancada izquierda</t>
  </si>
  <si>
    <t>cauce central</t>
  </si>
  <si>
    <t>bancada derecha</t>
  </si>
  <si>
    <t>Nota: El calado se mide para cada sección desde el nivel de lámina libre hasta la solera correspondiente</t>
  </si>
  <si>
    <t>calado cauce central</t>
  </si>
  <si>
    <t>Manning equivalente</t>
  </si>
  <si>
    <t>n = ( ∑ (ni ^ 3/2 * Pi) / P ) ^ 2/3</t>
  </si>
  <si>
    <t>Total</t>
  </si>
  <si>
    <t>Sección circular</t>
  </si>
  <si>
    <t>D (m)</t>
  </si>
  <si>
    <t>diámetro</t>
  </si>
  <si>
    <t>Radio hidráulico</t>
  </si>
  <si>
    <t>D</t>
  </si>
  <si>
    <t>nº exp.</t>
  </si>
  <si>
    <t>cauce</t>
  </si>
  <si>
    <t>Cauce</t>
  </si>
  <si>
    <t>K25</t>
  </si>
  <si>
    <t>K50</t>
  </si>
  <si>
    <t>K100</t>
  </si>
  <si>
    <t>K500</t>
  </si>
  <si>
    <t>Tiempo que transcurre desde que una gota en el punto más alejado de la cuenca llega hasta su desembocadura</t>
  </si>
  <si>
    <t>Material sección de desagüe</t>
  </si>
  <si>
    <t>Relación intensidades horaria/diaria</t>
  </si>
  <si>
    <t>K</t>
  </si>
  <si>
    <t>tomando Q en m3/seg y A en km2</t>
  </si>
  <si>
    <t>Coeficiente corrector método</t>
  </si>
  <si>
    <t>Caudal en la sección de desagüe</t>
  </si>
  <si>
    <t>Tipo Sección</t>
  </si>
  <si>
    <t>A (km2)</t>
  </si>
  <si>
    <t>Situación sección de desagüe</t>
  </si>
  <si>
    <t>término municipal - paraje - referencias de la sección</t>
  </si>
  <si>
    <t xml:space="preserve">Tipo terreno </t>
  </si>
  <si>
    <t>Cálculo de la pendiente de escorrentía</t>
  </si>
  <si>
    <t>Cota máxima (m.s.n.m.)</t>
  </si>
  <si>
    <t>Cota desagüe (m.s.n.m.)</t>
  </si>
  <si>
    <t>Longitud L (km)</t>
  </si>
  <si>
    <t>Pendiente media j (m/m)</t>
  </si>
  <si>
    <t>Datos del desagüe</t>
  </si>
  <si>
    <t>USO DE LA TIERRA</t>
  </si>
  <si>
    <t>PENDIENTE (%)</t>
  </si>
  <si>
    <t>CARACTERISTICAS HIDROLOGICAS</t>
  </si>
  <si>
    <t>GRUPO DE SUELO</t>
  </si>
  <si>
    <t>B</t>
  </si>
  <si>
    <t>Barbecho</t>
  </si>
  <si>
    <t>&gt;3</t>
  </si>
  <si>
    <t>R</t>
  </si>
  <si>
    <t>N</t>
  </si>
  <si>
    <t>&lt;3</t>
  </si>
  <si>
    <t>R/N</t>
  </si>
  <si>
    <t>Cultivos en hilera</t>
  </si>
  <si>
    <t>Cereales de invierno</t>
  </si>
  <si>
    <t>Praderas</t>
  </si>
  <si>
    <t>Pobre</t>
  </si>
  <si>
    <t>Media</t>
  </si>
  <si>
    <t>Buena</t>
  </si>
  <si>
    <t>*</t>
  </si>
  <si>
    <t>Muy buena</t>
  </si>
  <si>
    <t>Plantaciones regulares aprovechamiento forestal</t>
  </si>
  <si>
    <t>Masas forestales (bosques, monte bajo, etc.)</t>
  </si>
  <si>
    <t>Muy clara</t>
  </si>
  <si>
    <t>Clara</t>
  </si>
  <si>
    <t>Espesa</t>
  </si>
  <si>
    <t>Muy espesa</t>
  </si>
  <si>
    <t>TIPO DE TERRENO</t>
  </si>
  <si>
    <t>Rocas permeables</t>
  </si>
  <si>
    <t>Rocas impermeables</t>
  </si>
  <si>
    <t>Firmes granulares sin pavimento</t>
  </si>
  <si>
    <t>Adoquinados</t>
  </si>
  <si>
    <t>GRUPO</t>
  </si>
  <si>
    <t>INFILTRACION</t>
  </si>
  <si>
    <t>POTENCIA</t>
  </si>
  <si>
    <t>TEXTURA</t>
  </si>
  <si>
    <t>DRENAJE</t>
  </si>
  <si>
    <t>Grande</t>
  </si>
  <si>
    <t>Arenosa Areno-limosa</t>
  </si>
  <si>
    <t>Perfecto</t>
  </si>
  <si>
    <t>Moderada</t>
  </si>
  <si>
    <t>Media a grande</t>
  </si>
  <si>
    <t>Franco-arenosa</t>
  </si>
  <si>
    <t>Franca</t>
  </si>
  <si>
    <t>Franco-arcillosa-arenosa</t>
  </si>
  <si>
    <t>Franco-limosa</t>
  </si>
  <si>
    <t>Bueno a moderado</t>
  </si>
  <si>
    <t>Lenta</t>
  </si>
  <si>
    <t>Franco-arcillosa Franco-arcillo</t>
  </si>
  <si>
    <t>-limosa Arcillo-arenosa</t>
  </si>
  <si>
    <t>Imperfecto</t>
  </si>
  <si>
    <t>Muy lenta</t>
  </si>
  <si>
    <t>u horizontes de arcilla</t>
  </si>
  <si>
    <t>Arcillosa</t>
  </si>
  <si>
    <t>Pobre o muy pobre</t>
  </si>
  <si>
    <t>Estimación inicial del umbral de escorrentía Po (mm)</t>
  </si>
  <si>
    <t>Tabla 2.1 Instrucción 5.2.IC</t>
  </si>
  <si>
    <t>N: denota cultivo según las curvas de nivel.</t>
  </si>
  <si>
    <t>R: denota cultivo según la línea de máxima pendiente.</t>
  </si>
  <si>
    <t>*: denota que esa parte de cuenca debe considerarse inexistente a efectos de cálculo de caudales de avenida.</t>
  </si>
  <si>
    <t>Las zonas abalancadas se incluirán entre las de pendiente menor del 3%.</t>
  </si>
  <si>
    <t>Rotación de cultivos pobres</t>
  </si>
  <si>
    <t>Rotación de cultivos densos</t>
  </si>
  <si>
    <t>Pavimentos bituminosos o de hormigón</t>
  </si>
  <si>
    <t>UMBRAL DE ESCORRENTÍA (mm)</t>
  </si>
  <si>
    <t>Tabla 2.2 Instrucción 5.2.IC</t>
  </si>
  <si>
    <t>Clasificación de suelos a efectos del umbral de escorrentía</t>
  </si>
  <si>
    <t>(cuando están</t>
  </si>
  <si>
    <t>muy húmedos)</t>
  </si>
  <si>
    <t>Rápida</t>
  </si>
  <si>
    <t>Media a pequeña</t>
  </si>
  <si>
    <t>Pequeño (litosuelo)</t>
  </si>
  <si>
    <t>Tabla 7.1 Máximas lluvias diarias España</t>
  </si>
  <si>
    <t>Máximas Lluvias Diarias en la España Peninsular 13</t>
  </si>
  <si>
    <t>PERIODO DE RETORNO EN AÑOS (T)</t>
  </si>
  <si>
    <t>0.30 0.935 1.194 1.377 1.625 1.823 2.022 2.251 2.541</t>
  </si>
  <si>
    <t>0.31 0.932 1.198 1.385 1.640 1.854 2.068 2.296 2.602</t>
  </si>
  <si>
    <t>0.32 0.929 1.202 1.400 1.671 1.884 2.098 2.342 2.663</t>
  </si>
  <si>
    <t>0.33 0.927 1.209 1.415 1.686 1.915 2.144 2.388 2.724</t>
  </si>
  <si>
    <t>0.34 0.924 1.213 1.423 1.717 1.930 2.174 2.434 2.785</t>
  </si>
  <si>
    <t>0.35 0.921 1.217 1.438 1.732 1.961 2.220 2.480 2.831</t>
  </si>
  <si>
    <t>0.36 0.919 1.225 1.446 1.747 1.991 2.251 2.525 2.892</t>
  </si>
  <si>
    <t>0.37 0.917 1.232 1.461 1.778 2.022 2.281 2.571 2.953</t>
  </si>
  <si>
    <t>0.38 0.914 1.240 1.469 1.793 2.052 2.327 2.617 3.014</t>
  </si>
  <si>
    <t>0.39 0.912 1.243 1.484 1.808 2.083 2.357 2.663 3.067</t>
  </si>
  <si>
    <t>0.40 0.909 1.247 1.492 1.839 2.113 2.403 2.708 3.128</t>
  </si>
  <si>
    <t>0.41 0.906 1.255 1.507 1.854 2.144 2.434 2.754 3.189</t>
  </si>
  <si>
    <t>0.42 0.904 1.259 1.514 1.884 2.174 2.480 2.800 3.250</t>
  </si>
  <si>
    <t>0.43 0.901 1.263 1.534 1.900 2.205 2.510 2.846 3.311</t>
  </si>
  <si>
    <t>0.44 0.898 1.270 1.541 1.915 2.220 2.556 2.892 3.372</t>
  </si>
  <si>
    <t>0.45 0.896 1.274 1.549 1.945 2.251 2.586 2.937 3.433</t>
  </si>
  <si>
    <t>0.46 0.894 1.278 1.564 1.961 2.281 2.632 2.983 3.494</t>
  </si>
  <si>
    <t>0.47 0.892 1.286 1.579 1.991 2.312 2.663 3.044 3.555</t>
  </si>
  <si>
    <t>0.48 0.890 1.289 1.595 2.007 2.342 2.708 3.098 3.616</t>
  </si>
  <si>
    <t>0.49 0.887 1.293 1.603 2.022 2.373 2.739 3.128 3.677</t>
  </si>
  <si>
    <t>0.50 0.885 1.297 1.610 2.052 2.403 2.785 3.189 3.738</t>
  </si>
  <si>
    <t>0.51 0.883 1.301 1.625 2.068 2.434 2.815 3.220 3.799</t>
  </si>
  <si>
    <t>0.52 0.881 1.308 1.640 2.098 2.464 2.861 3.281 3.860</t>
  </si>
  <si>
    <t>Tabla 7.1 - Cuantiles Yt ,de la Ley SQRT-ET max, también denominados Factores de</t>
  </si>
  <si>
    <t>Amplificación KT, en el “Mapa para el Cálculo de Máximas Precipitaciones</t>
  </si>
  <si>
    <t>Diarias en la España Peninsular” (1997).</t>
  </si>
  <si>
    <t>Cv       2         5       10      25     50     100    200    500</t>
  </si>
  <si>
    <t>Pmed - Líneas moradas</t>
  </si>
  <si>
    <t>Cv - Líneas rojas</t>
  </si>
  <si>
    <t>Mapa de isolíneas. Máximas lluvias diarias en la España peninsular</t>
  </si>
  <si>
    <t>(tabla 2.1 y 2.2 Instrucción 5.2.IC)</t>
  </si>
  <si>
    <t>Cálculo hidrológico</t>
  </si>
  <si>
    <t>Datos de la cuenca</t>
  </si>
  <si>
    <t>¿CUMPLE?</t>
  </si>
  <si>
    <t>Cálculo hidráulico</t>
  </si>
  <si>
    <t>caudal por tubo</t>
  </si>
  <si>
    <t>número de</t>
  </si>
  <si>
    <t>caudal total</t>
  </si>
  <si>
    <t>tubos</t>
  </si>
  <si>
    <t>Caudal a desaguar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</si>
</sst>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18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2"/>
      <color indexed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sz val="10"/>
      <name val="Comic Sans MS"/>
      <family val="4"/>
    </font>
    <font>
      <sz val="10"/>
      <color indexed="9"/>
      <name val="Comic Sans MS"/>
      <family val="4"/>
    </font>
    <font>
      <sz val="16"/>
      <name val="Comic Sans MS"/>
      <family val="4"/>
    </font>
    <font>
      <sz val="16"/>
      <name val="Arial"/>
      <family val="2"/>
    </font>
    <font>
      <sz val="12"/>
      <name val="Comic Sans MS"/>
      <family val="4"/>
    </font>
    <font>
      <sz val="12"/>
      <name val="Arial"/>
      <family val="2"/>
    </font>
    <font>
      <sz val="16"/>
      <name val="Arial"/>
      <family val="2"/>
    </font>
    <font>
      <b/>
      <sz val="12"/>
      <color indexed="46"/>
      <name val="Arial"/>
      <family val="2"/>
    </font>
    <font>
      <b/>
      <sz val="12"/>
      <color indexed="10"/>
      <name val="Arial"/>
      <family val="2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</patternFill>
    </fill>
  </fills>
  <borders count="4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/>
    <xf numFmtId="2" fontId="2" fillId="0" borderId="0" xfId="0" applyNumberFormat="1" applyFont="1"/>
    <xf numFmtId="0" fontId="1" fillId="0" borderId="1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4" xfId="0" applyFont="1" applyFill="1" applyBorder="1"/>
    <xf numFmtId="0" fontId="2" fillId="0" borderId="0" xfId="0" applyFont="1" applyBorder="1" applyAlignment="1">
      <alignment horizontal="right"/>
    </xf>
    <xf numFmtId="0" fontId="3" fillId="0" borderId="0" xfId="0" applyFont="1"/>
    <xf numFmtId="0" fontId="1" fillId="0" borderId="0" xfId="0" applyFont="1"/>
    <xf numFmtId="0" fontId="2" fillId="0" borderId="0" xfId="0" applyFont="1" applyBorder="1" applyAlignment="1">
      <alignment wrapText="1"/>
    </xf>
    <xf numFmtId="0" fontId="2" fillId="0" borderId="0" xfId="0" applyFont="1" applyBorder="1"/>
    <xf numFmtId="0" fontId="2" fillId="2" borderId="0" xfId="0" applyFont="1" applyFill="1"/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right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172" fontId="2" fillId="0" borderId="6" xfId="0" applyNumberFormat="1" applyFont="1" applyBorder="1" applyAlignment="1">
      <alignment horizontal="right"/>
    </xf>
    <xf numFmtId="0" fontId="2" fillId="0" borderId="4" xfId="0" applyFont="1" applyBorder="1"/>
    <xf numFmtId="0" fontId="2" fillId="0" borderId="0" xfId="0" applyFont="1" applyBorder="1" applyAlignment="1">
      <alignment horizontal="left" wrapText="1"/>
    </xf>
    <xf numFmtId="0" fontId="2" fillId="0" borderId="0" xfId="0" applyFont="1" applyFill="1" applyBorder="1" applyAlignment="1">
      <alignment horizontal="left" wrapText="1"/>
    </xf>
    <xf numFmtId="0" fontId="2" fillId="0" borderId="4" xfId="0" applyFont="1" applyFill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0" xfId="0" applyFont="1" applyAlignment="1">
      <alignment horizontal="right"/>
    </xf>
    <xf numFmtId="0" fontId="2" fillId="0" borderId="3" xfId="0" applyFont="1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right"/>
    </xf>
    <xf numFmtId="0" fontId="2" fillId="0" borderId="2" xfId="0" applyFont="1" applyFill="1" applyBorder="1"/>
    <xf numFmtId="0" fontId="2" fillId="2" borderId="0" xfId="0" applyFont="1" applyFill="1" applyBorder="1"/>
    <xf numFmtId="0" fontId="1" fillId="0" borderId="0" xfId="0" applyFont="1" applyFill="1" applyBorder="1"/>
    <xf numFmtId="0" fontId="2" fillId="0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1" fillId="0" borderId="0" xfId="0" applyFont="1" applyBorder="1" applyAlignment="1">
      <alignment horizontal="left"/>
    </xf>
    <xf numFmtId="0" fontId="4" fillId="0" borderId="0" xfId="0" applyFont="1"/>
    <xf numFmtId="0" fontId="2" fillId="2" borderId="0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7" xfId="0" applyFont="1" applyBorder="1" applyAlignment="1">
      <alignment horizontal="right" wrapText="1"/>
    </xf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4" xfId="0" applyFont="1" applyFill="1" applyBorder="1" applyAlignment="1">
      <alignment horizontal="left"/>
    </xf>
    <xf numFmtId="2" fontId="2" fillId="0" borderId="0" xfId="0" applyNumberFormat="1" applyFont="1" applyBorder="1"/>
    <xf numFmtId="0" fontId="2" fillId="2" borderId="0" xfId="0" applyFont="1" applyFill="1" applyAlignment="1">
      <alignment horizontal="left" wrapText="1"/>
    </xf>
    <xf numFmtId="2" fontId="2" fillId="0" borderId="0" xfId="0" applyNumberFormat="1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2" borderId="0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left" wrapText="1"/>
    </xf>
    <xf numFmtId="0" fontId="1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13" xfId="0" applyFont="1" applyBorder="1" applyAlignment="1">
      <alignment horizontal="left" wrapText="1"/>
    </xf>
    <xf numFmtId="0" fontId="1" fillId="0" borderId="12" xfId="0" applyFont="1" applyBorder="1" applyAlignment="1">
      <alignment horizontal="left" wrapText="1"/>
    </xf>
    <xf numFmtId="0" fontId="1" fillId="0" borderId="5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1" fillId="0" borderId="11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13" xfId="0" applyFont="1" applyBorder="1"/>
    <xf numFmtId="0" fontId="1" fillId="0" borderId="5" xfId="0" applyFont="1" applyBorder="1"/>
    <xf numFmtId="0" fontId="1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4" xfId="0" applyFont="1" applyBorder="1"/>
    <xf numFmtId="0" fontId="1" fillId="0" borderId="11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1" xfId="0" applyFont="1" applyBorder="1" applyAlignment="1">
      <alignment horizontal="left" wrapText="1"/>
    </xf>
    <xf numFmtId="0" fontId="1" fillId="0" borderId="0" xfId="0" applyFont="1" applyBorder="1"/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6" xfId="0" applyFont="1" applyBorder="1" applyAlignment="1">
      <alignment horizontal="left" wrapText="1"/>
    </xf>
    <xf numFmtId="0" fontId="1" fillId="0" borderId="15" xfId="0" applyFont="1" applyBorder="1" applyAlignment="1">
      <alignment horizontal="left" wrapText="1"/>
    </xf>
    <xf numFmtId="0" fontId="1" fillId="0" borderId="17" xfId="0" applyFont="1" applyBorder="1" applyAlignment="1">
      <alignment horizontal="left" wrapText="1"/>
    </xf>
    <xf numFmtId="0" fontId="2" fillId="0" borderId="18" xfId="0" applyFont="1" applyBorder="1"/>
    <xf numFmtId="0" fontId="5" fillId="0" borderId="0" xfId="0" applyFont="1" applyBorder="1"/>
    <xf numFmtId="0" fontId="1" fillId="2" borderId="19" xfId="0" applyFont="1" applyFill="1" applyBorder="1"/>
    <xf numFmtId="0" fontId="2" fillId="0" borderId="20" xfId="0" applyFont="1" applyBorder="1"/>
    <xf numFmtId="0" fontId="1" fillId="0" borderId="21" xfId="0" applyFont="1" applyBorder="1"/>
    <xf numFmtId="0" fontId="2" fillId="2" borderId="4" xfId="0" applyFont="1" applyFill="1" applyBorder="1"/>
    <xf numFmtId="172" fontId="1" fillId="0" borderId="21" xfId="0" applyNumberFormat="1" applyFont="1" applyFill="1" applyBorder="1"/>
    <xf numFmtId="0" fontId="1" fillId="0" borderId="19" xfId="0" applyFont="1" applyBorder="1" applyAlignment="1">
      <alignment wrapText="1"/>
    </xf>
    <xf numFmtId="0" fontId="6" fillId="0" borderId="0" xfId="0" applyFont="1" applyBorder="1" applyAlignment="1">
      <alignment wrapText="1"/>
    </xf>
    <xf numFmtId="0" fontId="9" fillId="3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wrapText="1"/>
    </xf>
    <xf numFmtId="0" fontId="9" fillId="3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2" fillId="0" borderId="0" xfId="0" applyFont="1" applyFill="1" applyAlignment="1">
      <alignment horizontal="left" wrapText="1"/>
    </xf>
    <xf numFmtId="0" fontId="3" fillId="0" borderId="3" xfId="0" applyFont="1" applyBorder="1" applyAlignment="1">
      <alignment wrapText="1"/>
    </xf>
    <xf numFmtId="0" fontId="14" fillId="0" borderId="0" xfId="0" applyFont="1"/>
    <xf numFmtId="0" fontId="14" fillId="0" borderId="23" xfId="0" applyFont="1" applyBorder="1"/>
    <xf numFmtId="0" fontId="14" fillId="0" borderId="0" xfId="0" applyFont="1" applyBorder="1"/>
    <xf numFmtId="0" fontId="14" fillId="0" borderId="24" xfId="0" applyFont="1" applyBorder="1"/>
    <xf numFmtId="0" fontId="14" fillId="0" borderId="25" xfId="0" applyFont="1" applyBorder="1"/>
    <xf numFmtId="0" fontId="14" fillId="0" borderId="18" xfId="0" applyFont="1" applyBorder="1"/>
    <xf numFmtId="0" fontId="14" fillId="0" borderId="9" xfId="0" applyFont="1" applyBorder="1"/>
    <xf numFmtId="0" fontId="15" fillId="0" borderId="0" xfId="0" applyFont="1"/>
    <xf numFmtId="0" fontId="16" fillId="0" borderId="0" xfId="0" applyFont="1"/>
    <xf numFmtId="0" fontId="1" fillId="0" borderId="12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left" wrapText="1"/>
    </xf>
    <xf numFmtId="1" fontId="1" fillId="0" borderId="2" xfId="0" applyNumberFormat="1" applyFont="1" applyBorder="1" applyAlignment="1">
      <alignment horizontal="left" wrapText="1"/>
    </xf>
    <xf numFmtId="2" fontId="1" fillId="0" borderId="11" xfId="0" applyNumberFormat="1" applyFont="1" applyBorder="1" applyAlignment="1">
      <alignment horizontal="left" vertical="center" wrapText="1"/>
    </xf>
    <xf numFmtId="2" fontId="1" fillId="0" borderId="4" xfId="0" applyNumberFormat="1" applyFont="1" applyBorder="1" applyAlignment="1">
      <alignment horizontal="left" vertical="center" wrapText="1"/>
    </xf>
    <xf numFmtId="2" fontId="1" fillId="0" borderId="2" xfId="0" applyNumberFormat="1" applyFont="1" applyBorder="1" applyAlignment="1">
      <alignment horizontal="left" vertical="center" wrapText="1"/>
    </xf>
    <xf numFmtId="2" fontId="1" fillId="0" borderId="11" xfId="0" applyNumberFormat="1" applyFont="1" applyBorder="1" applyAlignment="1">
      <alignment horizontal="left" vertical="center"/>
    </xf>
    <xf numFmtId="2" fontId="1" fillId="0" borderId="13" xfId="0" applyNumberFormat="1" applyFont="1" applyBorder="1" applyAlignment="1">
      <alignment horizontal="left" vertical="center"/>
    </xf>
    <xf numFmtId="2" fontId="1" fillId="0" borderId="12" xfId="0" applyNumberFormat="1" applyFont="1" applyBorder="1" applyAlignment="1">
      <alignment horizontal="left" vertical="center"/>
    </xf>
    <xf numFmtId="2" fontId="1" fillId="0" borderId="11" xfId="0" applyNumberFormat="1" applyFont="1" applyBorder="1" applyAlignment="1">
      <alignment horizontal="left"/>
    </xf>
    <xf numFmtId="2" fontId="1" fillId="0" borderId="13" xfId="0" applyNumberFormat="1" applyFont="1" applyBorder="1" applyAlignment="1">
      <alignment horizontal="left"/>
    </xf>
    <xf numFmtId="2" fontId="1" fillId="0" borderId="12" xfId="0" applyNumberFormat="1" applyFont="1" applyBorder="1" applyAlignment="1">
      <alignment horizontal="left"/>
    </xf>
    <xf numFmtId="0" fontId="7" fillId="0" borderId="0" xfId="0" applyFont="1"/>
    <xf numFmtId="0" fontId="6" fillId="0" borderId="0" xfId="0" applyFont="1" applyFill="1" applyBorder="1" applyAlignment="1">
      <alignment wrapText="1"/>
    </xf>
    <xf numFmtId="0" fontId="6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wrapText="1"/>
    </xf>
    <xf numFmtId="0" fontId="7" fillId="0" borderId="26" xfId="0" applyFont="1" applyBorder="1"/>
    <xf numFmtId="0" fontId="5" fillId="0" borderId="6" xfId="0" applyFont="1" applyBorder="1"/>
    <xf numFmtId="0" fontId="5" fillId="0" borderId="3" xfId="0" applyFont="1" applyBorder="1"/>
    <xf numFmtId="0" fontId="6" fillId="0" borderId="6" xfId="0" applyFont="1" applyBorder="1"/>
    <xf numFmtId="0" fontId="6" fillId="0" borderId="6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17" fillId="0" borderId="0" xfId="0" applyFont="1"/>
    <xf numFmtId="0" fontId="1" fillId="0" borderId="14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17" fillId="0" borderId="25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6" fillId="0" borderId="25" xfId="0" applyFont="1" applyBorder="1"/>
    <xf numFmtId="2" fontId="6" fillId="0" borderId="27" xfId="0" applyNumberFormat="1" applyFont="1" applyBorder="1" applyAlignment="1">
      <alignment horizontal="left"/>
    </xf>
    <xf numFmtId="2" fontId="6" fillId="0" borderId="18" xfId="0" applyNumberFormat="1" applyFont="1" applyBorder="1" applyAlignment="1">
      <alignment horizontal="left"/>
    </xf>
    <xf numFmtId="2" fontId="6" fillId="0" borderId="9" xfId="0" applyNumberFormat="1" applyFont="1" applyBorder="1" applyAlignment="1">
      <alignment horizontal="left"/>
    </xf>
    <xf numFmtId="0" fontId="6" fillId="0" borderId="18" xfId="0" applyFont="1" applyBorder="1" applyAlignment="1">
      <alignment horizontal="right"/>
    </xf>
    <xf numFmtId="0" fontId="1" fillId="0" borderId="28" xfId="0" applyFont="1" applyBorder="1" applyAlignment="1">
      <alignment horizontal="center" wrapText="1"/>
    </xf>
    <xf numFmtId="0" fontId="1" fillId="0" borderId="29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8" xfId="0" applyFont="1" applyBorder="1" applyAlignment="1">
      <alignment horizontal="right"/>
    </xf>
    <xf numFmtId="0" fontId="1" fillId="0" borderId="29" xfId="0" applyFont="1" applyBorder="1" applyAlignment="1">
      <alignment horizontal="right"/>
    </xf>
    <xf numFmtId="0" fontId="17" fillId="0" borderId="30" xfId="0" applyFont="1" applyBorder="1" applyAlignment="1">
      <alignment horizontal="center"/>
    </xf>
    <xf numFmtId="0" fontId="17" fillId="0" borderId="31" xfId="0" applyFont="1" applyBorder="1" applyAlignment="1">
      <alignment horizontal="center"/>
    </xf>
    <xf numFmtId="0" fontId="17" fillId="0" borderId="32" xfId="0" applyFont="1" applyBorder="1" applyAlignment="1">
      <alignment horizontal="center"/>
    </xf>
    <xf numFmtId="0" fontId="1" fillId="0" borderId="13" xfId="0" applyFont="1" applyBorder="1" applyAlignment="1">
      <alignment horizontal="center" wrapText="1"/>
    </xf>
    <xf numFmtId="0" fontId="1" fillId="0" borderId="33" xfId="0" applyFont="1" applyBorder="1" applyAlignment="1">
      <alignment horizontal="center" wrapText="1"/>
    </xf>
    <xf numFmtId="0" fontId="1" fillId="0" borderId="34" xfId="0" applyFont="1" applyBorder="1" applyAlignment="1">
      <alignment horizontal="center" wrapText="1"/>
    </xf>
    <xf numFmtId="0" fontId="6" fillId="0" borderId="8" xfId="0" applyFont="1" applyBorder="1" applyAlignment="1">
      <alignment horizontal="right"/>
    </xf>
    <xf numFmtId="0" fontId="1" fillId="2" borderId="8" xfId="0" applyFont="1" applyFill="1" applyBorder="1" applyAlignment="1">
      <alignment horizontal="right"/>
    </xf>
    <xf numFmtId="0" fontId="7" fillId="2" borderId="35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14" fillId="0" borderId="25" xfId="0" applyFont="1" applyBorder="1" applyAlignment="1">
      <alignment horizontal="left"/>
    </xf>
    <xf numFmtId="0" fontId="14" fillId="0" borderId="18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14" fillId="0" borderId="28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9" fillId="3" borderId="11" xfId="0" applyFont="1" applyFill="1" applyBorder="1" applyAlignment="1">
      <alignment horizontal="center" vertical="center" wrapText="1"/>
    </xf>
    <xf numFmtId="0" fontId="0" fillId="0" borderId="12" xfId="0" applyBorder="1"/>
    <xf numFmtId="0" fontId="8" fillId="0" borderId="0" xfId="0" applyFont="1" applyAlignment="1">
      <alignment wrapText="1"/>
    </xf>
    <xf numFmtId="0" fontId="0" fillId="0" borderId="0" xfId="0"/>
    <xf numFmtId="0" fontId="9" fillId="3" borderId="20" xfId="0" applyFont="1" applyFill="1" applyBorder="1" applyAlignment="1">
      <alignment horizontal="center" vertical="center" wrapText="1"/>
    </xf>
    <xf numFmtId="0" fontId="0" fillId="0" borderId="21" xfId="0" applyBorder="1"/>
    <xf numFmtId="0" fontId="0" fillId="0" borderId="36" xfId="0" applyBorder="1"/>
    <xf numFmtId="0" fontId="8" fillId="3" borderId="20" xfId="0" applyFont="1" applyFill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11" fillId="0" borderId="0" xfId="0" applyFont="1"/>
    <xf numFmtId="0" fontId="12" fillId="0" borderId="0" xfId="0" applyFont="1" applyAlignment="1">
      <alignment wrapText="1"/>
    </xf>
    <xf numFmtId="0" fontId="13" fillId="0" borderId="0" xfId="0" applyFont="1"/>
    <xf numFmtId="0" fontId="0" fillId="0" borderId="13" xfId="0" applyBorder="1"/>
    <xf numFmtId="0" fontId="0" fillId="3" borderId="36" xfId="0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2">
    <dxf>
      <font>
        <strike val="0"/>
        <condense val="0"/>
        <extend val="0"/>
        <color indexed="10"/>
      </font>
    </dxf>
    <dxf>
      <font>
        <b val="0"/>
        <i val="0"/>
        <strike val="0"/>
        <condense val="0"/>
        <extend val="0"/>
        <color indexed="1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6</xdr:row>
      <xdr:rowOff>25400</xdr:rowOff>
    </xdr:from>
    <xdr:to>
      <xdr:col>14</xdr:col>
      <xdr:colOff>139700</xdr:colOff>
      <xdr:row>45</xdr:row>
      <xdr:rowOff>12700</xdr:rowOff>
    </xdr:to>
    <xdr:pic>
      <xdr:nvPicPr>
        <xdr:cNvPr id="2050" name="Picture 2">
          <a:extLst>
            <a:ext uri="{FF2B5EF4-FFF2-40B4-BE49-F238E27FC236}">
              <a16:creationId xmlns:a16="http://schemas.microsoft.com/office/drawing/2014/main" id="{8D1E31C3-5E67-5244-F5CE-D98481FC7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00" y="1181100"/>
          <a:ext cx="10680700" cy="642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12700</xdr:colOff>
      <xdr:row>45</xdr:row>
      <xdr:rowOff>0</xdr:rowOff>
    </xdr:from>
    <xdr:to>
      <xdr:col>13</xdr:col>
      <xdr:colOff>762000</xdr:colOff>
      <xdr:row>83</xdr:row>
      <xdr:rowOff>139700</xdr:rowOff>
    </xdr:to>
    <xdr:pic>
      <xdr:nvPicPr>
        <xdr:cNvPr id="2051" name="Picture 3">
          <a:extLst>
            <a:ext uri="{FF2B5EF4-FFF2-40B4-BE49-F238E27FC236}">
              <a16:creationId xmlns:a16="http://schemas.microsoft.com/office/drawing/2014/main" id="{979A123C-5852-19C2-F470-802DBC9A7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7594600"/>
          <a:ext cx="10655300" cy="641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1</xdr:row>
      <xdr:rowOff>241300</xdr:rowOff>
    </xdr:from>
    <xdr:to>
      <xdr:col>0</xdr:col>
      <xdr:colOff>571500</xdr:colOff>
      <xdr:row>4</xdr:row>
      <xdr:rowOff>12700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DB55F930-8D25-723B-4340-B2BC67B98E8C}"/>
            </a:ext>
          </a:extLst>
        </xdr:cNvPr>
        <xdr:cNvSpPr>
          <a:spLocks noChangeShapeType="1"/>
        </xdr:cNvSpPr>
      </xdr:nvSpPr>
      <xdr:spPr bwMode="auto">
        <a:xfrm>
          <a:off x="12700" y="495300"/>
          <a:ext cx="558800" cy="5588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546100</xdr:colOff>
      <xdr:row>4</xdr:row>
      <xdr:rowOff>0</xdr:rowOff>
    </xdr:from>
    <xdr:to>
      <xdr:col>0</xdr:col>
      <xdr:colOff>571500</xdr:colOff>
      <xdr:row>27</xdr:row>
      <xdr:rowOff>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4DA08D2A-37ED-8D23-39CD-84BE718CCDDC}"/>
            </a:ext>
          </a:extLst>
        </xdr:cNvPr>
        <xdr:cNvSpPr>
          <a:spLocks noChangeShapeType="1"/>
        </xdr:cNvSpPr>
      </xdr:nvSpPr>
      <xdr:spPr bwMode="auto">
        <a:xfrm flipH="1">
          <a:off x="546100" y="1041400"/>
          <a:ext cx="25400" cy="58547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A7133-A243-CA4C-8043-CAED9AE2A6CF}">
  <dimension ref="B1:F29"/>
  <sheetViews>
    <sheetView tabSelected="1" workbookViewId="0">
      <selection activeCell="B27" sqref="B27"/>
    </sheetView>
  </sheetViews>
  <sheetFormatPr baseColWidth="10" defaultColWidth="11.5" defaultRowHeight="16" x14ac:dyDescent="0.2"/>
  <cols>
    <col min="1" max="1" width="3.5" style="3" customWidth="1"/>
    <col min="2" max="2" width="44.5" style="3" bestFit="1" customWidth="1"/>
    <col min="3" max="3" width="36.83203125" style="3" customWidth="1"/>
    <col min="4" max="4" width="26.5" style="3" customWidth="1"/>
    <col min="5" max="5" width="25.5" style="3" customWidth="1"/>
    <col min="6" max="6" width="31.5" style="3" customWidth="1"/>
    <col min="7" max="16384" width="11.5" style="3"/>
  </cols>
  <sheetData>
    <row r="1" spans="2:6" ht="23" x14ac:dyDescent="0.25">
      <c r="B1" s="133" t="s">
        <v>48</v>
      </c>
      <c r="C1" s="165" t="s">
        <v>135</v>
      </c>
      <c r="D1" s="165"/>
      <c r="E1" s="165"/>
      <c r="F1" s="166"/>
    </row>
    <row r="2" spans="2:6" ht="20" x14ac:dyDescent="0.2">
      <c r="B2" s="134"/>
      <c r="C2" s="89"/>
      <c r="D2" s="89"/>
      <c r="E2" s="89"/>
      <c r="F2" s="135"/>
    </row>
    <row r="3" spans="2:6" ht="18" x14ac:dyDescent="0.2">
      <c r="B3" s="136" t="s">
        <v>137</v>
      </c>
      <c r="C3" s="167" t="s">
        <v>136</v>
      </c>
      <c r="D3" s="167"/>
      <c r="E3" s="167"/>
      <c r="F3" s="168"/>
    </row>
    <row r="4" spans="2:6" ht="18" x14ac:dyDescent="0.2">
      <c r="B4" s="137"/>
      <c r="C4" s="96"/>
      <c r="D4" s="96"/>
      <c r="E4" s="96"/>
      <c r="F4" s="138"/>
    </row>
    <row r="5" spans="2:6" ht="20.25" customHeight="1" x14ac:dyDescent="0.2">
      <c r="B5" s="139" t="s">
        <v>151</v>
      </c>
      <c r="C5" s="169" t="s">
        <v>152</v>
      </c>
      <c r="D5" s="169"/>
      <c r="E5" s="169"/>
      <c r="F5" s="170"/>
    </row>
    <row r="6" spans="2:6" ht="20.25" customHeight="1" x14ac:dyDescent="0.2">
      <c r="B6" s="130"/>
      <c r="C6" s="131"/>
      <c r="D6" s="131"/>
      <c r="E6" s="131"/>
      <c r="F6" s="131"/>
    </row>
    <row r="7" spans="2:6" ht="20.25" customHeight="1" x14ac:dyDescent="0.2">
      <c r="B7" s="130"/>
      <c r="C7" s="131"/>
      <c r="D7" s="131"/>
      <c r="E7" s="131"/>
      <c r="F7" s="131"/>
    </row>
    <row r="8" spans="2:6" ht="20.25" customHeight="1" x14ac:dyDescent="0.2">
      <c r="B8" s="130"/>
      <c r="C8" s="131"/>
      <c r="D8" s="131"/>
      <c r="E8" s="131"/>
      <c r="F8" s="131"/>
    </row>
    <row r="9" spans="2:6" ht="20.25" customHeight="1" x14ac:dyDescent="0.2">
      <c r="B9" s="130"/>
      <c r="C9" s="131"/>
      <c r="D9" s="131"/>
      <c r="E9" s="131"/>
      <c r="F9" s="131"/>
    </row>
    <row r="10" spans="2:6" ht="20.25" customHeight="1" x14ac:dyDescent="0.2">
      <c r="B10" s="130"/>
      <c r="C10" s="131"/>
      <c r="D10" s="131"/>
      <c r="E10" s="131"/>
      <c r="F10" s="131"/>
    </row>
    <row r="11" spans="2:6" ht="20.25" customHeight="1" x14ac:dyDescent="0.2">
      <c r="B11" s="130"/>
      <c r="C11" s="131"/>
      <c r="D11" s="131"/>
      <c r="E11" s="131"/>
      <c r="F11" s="131"/>
    </row>
    <row r="12" spans="2:6" ht="20.25" customHeight="1" x14ac:dyDescent="0.25">
      <c r="B12" s="132" t="s">
        <v>265</v>
      </c>
      <c r="C12" s="131"/>
      <c r="D12" s="131"/>
      <c r="E12" s="131"/>
      <c r="F12" s="131"/>
    </row>
    <row r="13" spans="2:6" ht="20.25" customHeight="1" x14ac:dyDescent="0.2">
      <c r="B13" s="130"/>
      <c r="C13" s="131"/>
      <c r="D13" s="131"/>
      <c r="E13" s="131"/>
      <c r="F13" s="131"/>
    </row>
    <row r="14" spans="2:6" ht="20.25" customHeight="1" x14ac:dyDescent="0.2">
      <c r="B14" s="130"/>
      <c r="C14" s="131"/>
      <c r="D14" s="131"/>
      <c r="E14" s="131"/>
      <c r="F14" s="131"/>
    </row>
    <row r="15" spans="2:6" x14ac:dyDescent="0.2">
      <c r="B15" s="15"/>
      <c r="C15" s="15"/>
      <c r="D15" s="4"/>
      <c r="E15" s="4"/>
      <c r="F15" s="4"/>
    </row>
    <row r="16" spans="2:6" ht="17" x14ac:dyDescent="0.2">
      <c r="B16" s="91"/>
      <c r="C16" s="60" t="s">
        <v>157</v>
      </c>
      <c r="D16" s="69" t="s">
        <v>155</v>
      </c>
      <c r="E16" s="69" t="s">
        <v>156</v>
      </c>
      <c r="F16" s="95" t="s">
        <v>158</v>
      </c>
    </row>
    <row r="17" spans="2:6" x14ac:dyDescent="0.2">
      <c r="B17" s="92" t="s">
        <v>154</v>
      </c>
      <c r="C17" s="93" t="s">
        <v>37</v>
      </c>
      <c r="D17" s="93" t="s">
        <v>38</v>
      </c>
      <c r="E17" s="93" t="s">
        <v>39</v>
      </c>
      <c r="F17" s="94" t="e">
        <f>(D17-E17)/(C17*1000)</f>
        <v>#VALUE!</v>
      </c>
    </row>
    <row r="18" spans="2:6" x14ac:dyDescent="0.2">
      <c r="B18" s="16"/>
    </row>
    <row r="19" spans="2:6" ht="17" x14ac:dyDescent="0.2">
      <c r="B19" s="64" t="s">
        <v>36</v>
      </c>
      <c r="C19" s="74" t="s">
        <v>150</v>
      </c>
      <c r="D19" s="90" t="s">
        <v>40</v>
      </c>
    </row>
    <row r="20" spans="2:6" x14ac:dyDescent="0.2">
      <c r="B20" s="16"/>
    </row>
    <row r="21" spans="2:6" ht="17" x14ac:dyDescent="0.2">
      <c r="B21" s="64" t="s">
        <v>153</v>
      </c>
      <c r="C21" s="74" t="s">
        <v>263</v>
      </c>
      <c r="D21" s="90" t="s">
        <v>51</v>
      </c>
    </row>
    <row r="22" spans="2:6" x14ac:dyDescent="0.2">
      <c r="B22" s="16"/>
    </row>
    <row r="23" spans="2:6" x14ac:dyDescent="0.2">
      <c r="B23" s="16"/>
    </row>
    <row r="24" spans="2:6" x14ac:dyDescent="0.2">
      <c r="B24" s="16"/>
    </row>
    <row r="25" spans="2:6" x14ac:dyDescent="0.2">
      <c r="B25" s="16"/>
    </row>
    <row r="26" spans="2:6" x14ac:dyDescent="0.2">
      <c r="B26" s="16"/>
    </row>
    <row r="27" spans="2:6" x14ac:dyDescent="0.2">
      <c r="B27" s="16"/>
    </row>
    <row r="28" spans="2:6" x14ac:dyDescent="0.2">
      <c r="B28" s="16"/>
    </row>
    <row r="29" spans="2:6" x14ac:dyDescent="0.2">
      <c r="B29" s="16"/>
    </row>
  </sheetData>
  <mergeCells count="3">
    <mergeCell ref="C1:F1"/>
    <mergeCell ref="C3:F3"/>
    <mergeCell ref="C5:F5"/>
  </mergeCells>
  <phoneticPr fontId="0" type="noConversion"/>
  <pageMargins left="0.75" right="0.75" top="1" bottom="1" header="0" footer="0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BF45E-A6D3-9846-988A-82BBA432ECF0}">
  <dimension ref="B2:B5"/>
  <sheetViews>
    <sheetView workbookViewId="0">
      <selection activeCell="P43" sqref="P43"/>
    </sheetView>
  </sheetViews>
  <sheetFormatPr baseColWidth="10" defaultRowHeight="13" x14ac:dyDescent="0.15"/>
  <cols>
    <col min="1" max="1" width="4.83203125" customWidth="1"/>
  </cols>
  <sheetData>
    <row r="2" spans="2:2" ht="20" x14ac:dyDescent="0.2">
      <c r="B2" s="108" t="s">
        <v>262</v>
      </c>
    </row>
    <row r="4" spans="2:2" ht="16" x14ac:dyDescent="0.2">
      <c r="B4" s="115" t="s">
        <v>260</v>
      </c>
    </row>
    <row r="5" spans="2:2" ht="16" x14ac:dyDescent="0.2">
      <c r="B5" s="116" t="s">
        <v>261</v>
      </c>
    </row>
  </sheetData>
  <phoneticPr fontId="0" type="noConversion"/>
  <pageMargins left="0.75" right="0.75" top="1" bottom="1" header="0" footer="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028A2-AECB-6449-849C-CA88AB5C6E21}">
  <dimension ref="A1:G31"/>
  <sheetViews>
    <sheetView workbookViewId="0">
      <selection activeCell="J24" sqref="J24"/>
    </sheetView>
  </sheetViews>
  <sheetFormatPr baseColWidth="10" defaultColWidth="11.5" defaultRowHeight="20" x14ac:dyDescent="0.2"/>
  <cols>
    <col min="1" max="16384" width="11.5" style="108"/>
  </cols>
  <sheetData>
    <row r="1" spans="1:7" x14ac:dyDescent="0.2">
      <c r="A1" s="108" t="s">
        <v>231</v>
      </c>
    </row>
    <row r="2" spans="1:7" ht="21" thickBot="1" x14ac:dyDescent="0.25"/>
    <row r="3" spans="1:7" x14ac:dyDescent="0.2">
      <c r="A3" s="174" t="s">
        <v>232</v>
      </c>
      <c r="B3" s="175"/>
      <c r="C3" s="175"/>
      <c r="D3" s="175"/>
      <c r="E3" s="175"/>
      <c r="F3" s="175"/>
      <c r="G3" s="176"/>
    </row>
    <row r="4" spans="1:7" ht="21" thickBot="1" x14ac:dyDescent="0.25">
      <c r="A4" s="171" t="s">
        <v>259</v>
      </c>
      <c r="B4" s="172"/>
      <c r="C4" s="172"/>
      <c r="D4" s="172"/>
      <c r="E4" s="172"/>
      <c r="F4" s="172"/>
      <c r="G4" s="173"/>
    </row>
    <row r="5" spans="1:7" x14ac:dyDescent="0.2">
      <c r="A5" s="109" t="s">
        <v>233</v>
      </c>
      <c r="B5" s="110"/>
      <c r="C5" s="110"/>
      <c r="D5" s="110"/>
      <c r="E5" s="110"/>
      <c r="F5" s="110"/>
      <c r="G5" s="111"/>
    </row>
    <row r="6" spans="1:7" x14ac:dyDescent="0.2">
      <c r="A6" s="109" t="s">
        <v>234</v>
      </c>
      <c r="B6" s="110"/>
      <c r="C6" s="110"/>
      <c r="D6" s="110"/>
      <c r="E6" s="110"/>
      <c r="F6" s="110"/>
      <c r="G6" s="111"/>
    </row>
    <row r="7" spans="1:7" x14ac:dyDescent="0.2">
      <c r="A7" s="109" t="s">
        <v>235</v>
      </c>
      <c r="B7" s="110"/>
      <c r="C7" s="110"/>
      <c r="D7" s="110"/>
      <c r="E7" s="110"/>
      <c r="F7" s="110"/>
      <c r="G7" s="111"/>
    </row>
    <row r="8" spans="1:7" x14ac:dyDescent="0.2">
      <c r="A8" s="109" t="s">
        <v>236</v>
      </c>
      <c r="B8" s="110"/>
      <c r="C8" s="110"/>
      <c r="D8" s="110"/>
      <c r="E8" s="110"/>
      <c r="F8" s="110"/>
      <c r="G8" s="111"/>
    </row>
    <row r="9" spans="1:7" x14ac:dyDescent="0.2">
      <c r="A9" s="109" t="s">
        <v>237</v>
      </c>
      <c r="B9" s="110"/>
      <c r="C9" s="110"/>
      <c r="D9" s="110"/>
      <c r="E9" s="110"/>
      <c r="F9" s="110"/>
      <c r="G9" s="111"/>
    </row>
    <row r="10" spans="1:7" x14ac:dyDescent="0.2">
      <c r="A10" s="109" t="s">
        <v>238</v>
      </c>
      <c r="B10" s="110"/>
      <c r="C10" s="110"/>
      <c r="D10" s="110"/>
      <c r="E10" s="110"/>
      <c r="F10" s="110"/>
      <c r="G10" s="111"/>
    </row>
    <row r="11" spans="1:7" x14ac:dyDescent="0.2">
      <c r="A11" s="109" t="s">
        <v>239</v>
      </c>
      <c r="B11" s="110"/>
      <c r="C11" s="110"/>
      <c r="D11" s="110"/>
      <c r="E11" s="110"/>
      <c r="F11" s="110"/>
      <c r="G11" s="111"/>
    </row>
    <row r="12" spans="1:7" x14ac:dyDescent="0.2">
      <c r="A12" s="109" t="s">
        <v>240</v>
      </c>
      <c r="B12" s="110"/>
      <c r="C12" s="110"/>
      <c r="D12" s="110"/>
      <c r="E12" s="110"/>
      <c r="F12" s="110"/>
      <c r="G12" s="111"/>
    </row>
    <row r="13" spans="1:7" x14ac:dyDescent="0.2">
      <c r="A13" s="109" t="s">
        <v>241</v>
      </c>
      <c r="B13" s="110"/>
      <c r="C13" s="110"/>
      <c r="D13" s="110"/>
      <c r="E13" s="110"/>
      <c r="F13" s="110"/>
      <c r="G13" s="111"/>
    </row>
    <row r="14" spans="1:7" x14ac:dyDescent="0.2">
      <c r="A14" s="109" t="s">
        <v>242</v>
      </c>
      <c r="B14" s="110"/>
      <c r="C14" s="110"/>
      <c r="D14" s="110"/>
      <c r="E14" s="110"/>
      <c r="F14" s="110"/>
      <c r="G14" s="111"/>
    </row>
    <row r="15" spans="1:7" x14ac:dyDescent="0.2">
      <c r="A15" s="109" t="s">
        <v>243</v>
      </c>
      <c r="B15" s="110"/>
      <c r="C15" s="110"/>
      <c r="D15" s="110"/>
      <c r="E15" s="110"/>
      <c r="F15" s="110"/>
      <c r="G15" s="111"/>
    </row>
    <row r="16" spans="1:7" x14ac:dyDescent="0.2">
      <c r="A16" s="109" t="s">
        <v>244</v>
      </c>
      <c r="B16" s="110"/>
      <c r="C16" s="110"/>
      <c r="D16" s="110"/>
      <c r="E16" s="110"/>
      <c r="F16" s="110"/>
      <c r="G16" s="111"/>
    </row>
    <row r="17" spans="1:7" x14ac:dyDescent="0.2">
      <c r="A17" s="109" t="s">
        <v>245</v>
      </c>
      <c r="B17" s="110"/>
      <c r="C17" s="110"/>
      <c r="D17" s="110"/>
      <c r="E17" s="110"/>
      <c r="F17" s="110"/>
      <c r="G17" s="111"/>
    </row>
    <row r="18" spans="1:7" x14ac:dyDescent="0.2">
      <c r="A18" s="109" t="s">
        <v>246</v>
      </c>
      <c r="B18" s="110"/>
      <c r="C18" s="110"/>
      <c r="D18" s="110"/>
      <c r="E18" s="110"/>
      <c r="F18" s="110"/>
      <c r="G18" s="111"/>
    </row>
    <row r="19" spans="1:7" x14ac:dyDescent="0.2">
      <c r="A19" s="109" t="s">
        <v>247</v>
      </c>
      <c r="B19" s="110"/>
      <c r="C19" s="110"/>
      <c r="D19" s="110"/>
      <c r="E19" s="110"/>
      <c r="F19" s="110"/>
      <c r="G19" s="111"/>
    </row>
    <row r="20" spans="1:7" x14ac:dyDescent="0.2">
      <c r="A20" s="109" t="s">
        <v>248</v>
      </c>
      <c r="B20" s="110"/>
      <c r="C20" s="110"/>
      <c r="D20" s="110"/>
      <c r="E20" s="110"/>
      <c r="F20" s="110"/>
      <c r="G20" s="111"/>
    </row>
    <row r="21" spans="1:7" x14ac:dyDescent="0.2">
      <c r="A21" s="109" t="s">
        <v>249</v>
      </c>
      <c r="B21" s="110"/>
      <c r="C21" s="110"/>
      <c r="D21" s="110"/>
      <c r="E21" s="110"/>
      <c r="F21" s="110"/>
      <c r="G21" s="111"/>
    </row>
    <row r="22" spans="1:7" x14ac:dyDescent="0.2">
      <c r="A22" s="109" t="s">
        <v>250</v>
      </c>
      <c r="B22" s="110"/>
      <c r="C22" s="110"/>
      <c r="D22" s="110"/>
      <c r="E22" s="110"/>
      <c r="F22" s="110"/>
      <c r="G22" s="111"/>
    </row>
    <row r="23" spans="1:7" x14ac:dyDescent="0.2">
      <c r="A23" s="109" t="s">
        <v>251</v>
      </c>
      <c r="B23" s="110"/>
      <c r="C23" s="110"/>
      <c r="D23" s="110"/>
      <c r="E23" s="110"/>
      <c r="F23" s="110"/>
      <c r="G23" s="111"/>
    </row>
    <row r="24" spans="1:7" x14ac:dyDescent="0.2">
      <c r="A24" s="109" t="s">
        <v>252</v>
      </c>
      <c r="B24" s="110"/>
      <c r="C24" s="110"/>
      <c r="D24" s="110"/>
      <c r="E24" s="110"/>
      <c r="F24" s="110"/>
      <c r="G24" s="111"/>
    </row>
    <row r="25" spans="1:7" x14ac:dyDescent="0.2">
      <c r="A25" s="109" t="s">
        <v>253</v>
      </c>
      <c r="B25" s="110"/>
      <c r="C25" s="110"/>
      <c r="D25" s="110"/>
      <c r="E25" s="110"/>
      <c r="F25" s="110"/>
      <c r="G25" s="111"/>
    </row>
    <row r="26" spans="1:7" x14ac:dyDescent="0.2">
      <c r="A26" s="109" t="s">
        <v>254</v>
      </c>
      <c r="B26" s="110"/>
      <c r="C26" s="110"/>
      <c r="D26" s="110"/>
      <c r="E26" s="110"/>
      <c r="F26" s="110"/>
      <c r="G26" s="111"/>
    </row>
    <row r="27" spans="1:7" ht="21" thickBot="1" x14ac:dyDescent="0.25">
      <c r="A27" s="112" t="s">
        <v>255</v>
      </c>
      <c r="B27" s="113"/>
      <c r="C27" s="113"/>
      <c r="D27" s="113"/>
      <c r="E27" s="113"/>
      <c r="F27" s="113"/>
      <c r="G27" s="114"/>
    </row>
    <row r="29" spans="1:7" x14ac:dyDescent="0.2">
      <c r="A29" s="108" t="s">
        <v>256</v>
      </c>
    </row>
    <row r="30" spans="1:7" x14ac:dyDescent="0.2">
      <c r="A30" s="108" t="s">
        <v>257</v>
      </c>
    </row>
    <row r="31" spans="1:7" x14ac:dyDescent="0.2">
      <c r="A31" s="108" t="s">
        <v>258</v>
      </c>
    </row>
  </sheetData>
  <mergeCells count="2">
    <mergeCell ref="A4:G4"/>
    <mergeCell ref="A3:G3"/>
  </mergeCells>
  <phoneticPr fontId="0" type="noConversion"/>
  <pageMargins left="0.75" right="0.75" top="1" bottom="1" header="0" footer="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224C2-4F6D-BA4C-896D-8DDF0E262FDB}">
  <dimension ref="A2:P67"/>
  <sheetViews>
    <sheetView workbookViewId="0">
      <selection activeCell="B73" sqref="B73"/>
    </sheetView>
  </sheetViews>
  <sheetFormatPr baseColWidth="10" defaultRowHeight="13" x14ac:dyDescent="0.15"/>
  <cols>
    <col min="1" max="1" width="42.83203125" bestFit="1" customWidth="1"/>
    <col min="2" max="2" width="12.83203125" customWidth="1"/>
    <col min="3" max="3" width="20.5" customWidth="1"/>
  </cols>
  <sheetData>
    <row r="2" spans="1:16" ht="25.5" customHeight="1" x14ac:dyDescent="0.4">
      <c r="A2" s="185" t="s">
        <v>214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</row>
    <row r="3" spans="1:16" ht="22.5" customHeight="1" x14ac:dyDescent="0.25">
      <c r="A3" s="187" t="s">
        <v>213</v>
      </c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</row>
    <row r="5" spans="1:16" ht="60" customHeight="1" x14ac:dyDescent="0.15">
      <c r="A5" s="181" t="s">
        <v>160</v>
      </c>
      <c r="B5" s="181" t="s">
        <v>161</v>
      </c>
      <c r="C5" s="181" t="s">
        <v>162</v>
      </c>
      <c r="D5" s="177" t="s">
        <v>163</v>
      </c>
      <c r="E5" s="189"/>
      <c r="F5" s="189"/>
      <c r="G5" s="178"/>
    </row>
    <row r="6" spans="1:16" ht="17" x14ac:dyDescent="0.15">
      <c r="A6" s="182"/>
      <c r="B6" s="182"/>
      <c r="C6" s="182"/>
      <c r="D6" s="97" t="s">
        <v>40</v>
      </c>
      <c r="E6" s="97" t="s">
        <v>164</v>
      </c>
      <c r="F6" s="97" t="s">
        <v>1</v>
      </c>
      <c r="G6" s="97" t="s">
        <v>134</v>
      </c>
    </row>
    <row r="7" spans="1:16" ht="17" x14ac:dyDescent="0.15">
      <c r="A7" s="181" t="s">
        <v>165</v>
      </c>
      <c r="B7" s="181" t="s">
        <v>166</v>
      </c>
      <c r="C7" s="97" t="s">
        <v>167</v>
      </c>
      <c r="D7" s="98">
        <v>15</v>
      </c>
      <c r="E7" s="98">
        <v>8</v>
      </c>
      <c r="F7" s="98">
        <v>6</v>
      </c>
      <c r="G7" s="98">
        <v>4</v>
      </c>
    </row>
    <row r="8" spans="1:16" ht="17" x14ac:dyDescent="0.15">
      <c r="A8" s="183"/>
      <c r="B8" s="182"/>
      <c r="C8" s="97" t="s">
        <v>168</v>
      </c>
      <c r="D8" s="98">
        <v>17</v>
      </c>
      <c r="E8" s="98">
        <v>11</v>
      </c>
      <c r="F8" s="98">
        <v>8</v>
      </c>
      <c r="G8" s="98">
        <v>6</v>
      </c>
    </row>
    <row r="9" spans="1:16" ht="17" x14ac:dyDescent="0.15">
      <c r="A9" s="182"/>
      <c r="B9" s="97" t="s">
        <v>169</v>
      </c>
      <c r="C9" s="97" t="s">
        <v>170</v>
      </c>
      <c r="D9" s="98">
        <v>20</v>
      </c>
      <c r="E9" s="98">
        <v>14</v>
      </c>
      <c r="F9" s="98">
        <v>11</v>
      </c>
      <c r="G9" s="98">
        <v>8</v>
      </c>
    </row>
    <row r="10" spans="1:16" ht="17" x14ac:dyDescent="0.15">
      <c r="A10" s="181" t="s">
        <v>171</v>
      </c>
      <c r="B10" s="181" t="s">
        <v>166</v>
      </c>
      <c r="C10" s="97" t="s">
        <v>167</v>
      </c>
      <c r="D10" s="98">
        <v>23</v>
      </c>
      <c r="E10" s="98">
        <v>13</v>
      </c>
      <c r="F10" s="98">
        <v>8</v>
      </c>
      <c r="G10" s="98">
        <v>6</v>
      </c>
    </row>
    <row r="11" spans="1:16" ht="17" x14ac:dyDescent="0.15">
      <c r="A11" s="183"/>
      <c r="B11" s="182"/>
      <c r="C11" s="97" t="s">
        <v>168</v>
      </c>
      <c r="D11" s="98">
        <v>25</v>
      </c>
      <c r="E11" s="98">
        <v>16</v>
      </c>
      <c r="F11" s="98">
        <v>11</v>
      </c>
      <c r="G11" s="98">
        <v>8</v>
      </c>
    </row>
    <row r="12" spans="1:16" ht="17" x14ac:dyDescent="0.15">
      <c r="A12" s="182"/>
      <c r="B12" s="97" t="s">
        <v>169</v>
      </c>
      <c r="C12" s="97" t="s">
        <v>170</v>
      </c>
      <c r="D12" s="98">
        <v>28</v>
      </c>
      <c r="E12" s="98">
        <v>19</v>
      </c>
      <c r="F12" s="98">
        <v>14</v>
      </c>
      <c r="G12" s="98">
        <v>11</v>
      </c>
    </row>
    <row r="13" spans="1:16" ht="17" x14ac:dyDescent="0.15">
      <c r="A13" s="181" t="s">
        <v>172</v>
      </c>
      <c r="B13" s="181" t="s">
        <v>166</v>
      </c>
      <c r="C13" s="97" t="s">
        <v>167</v>
      </c>
      <c r="D13" s="98">
        <v>29</v>
      </c>
      <c r="E13" s="98">
        <v>17</v>
      </c>
      <c r="F13" s="98">
        <v>10</v>
      </c>
      <c r="G13" s="98">
        <v>8</v>
      </c>
    </row>
    <row r="14" spans="1:16" ht="17" x14ac:dyDescent="0.15">
      <c r="A14" s="183"/>
      <c r="B14" s="182"/>
      <c r="C14" s="97" t="s">
        <v>168</v>
      </c>
      <c r="D14" s="98">
        <v>32</v>
      </c>
      <c r="E14" s="98">
        <v>19</v>
      </c>
      <c r="F14" s="98">
        <v>12</v>
      </c>
      <c r="G14" s="98">
        <v>10</v>
      </c>
    </row>
    <row r="15" spans="1:16" ht="17" x14ac:dyDescent="0.15">
      <c r="A15" s="182"/>
      <c r="B15" s="97" t="s">
        <v>169</v>
      </c>
      <c r="C15" s="97" t="s">
        <v>170</v>
      </c>
      <c r="D15" s="98">
        <v>34</v>
      </c>
      <c r="E15" s="98">
        <v>21</v>
      </c>
      <c r="F15" s="98">
        <v>14</v>
      </c>
      <c r="G15" s="98">
        <v>12</v>
      </c>
    </row>
    <row r="16" spans="1:16" ht="45" customHeight="1" x14ac:dyDescent="0.15">
      <c r="A16" s="181" t="s">
        <v>219</v>
      </c>
      <c r="B16" s="181" t="s">
        <v>166</v>
      </c>
      <c r="C16" s="97" t="s">
        <v>167</v>
      </c>
      <c r="D16" s="98">
        <v>26</v>
      </c>
      <c r="E16" s="98">
        <v>15</v>
      </c>
      <c r="F16" s="98">
        <v>9</v>
      </c>
      <c r="G16" s="98">
        <v>6</v>
      </c>
    </row>
    <row r="17" spans="1:7" ht="17" x14ac:dyDescent="0.15">
      <c r="A17" s="183"/>
      <c r="B17" s="182"/>
      <c r="C17" s="97" t="s">
        <v>168</v>
      </c>
      <c r="D17" s="98">
        <v>28</v>
      </c>
      <c r="E17" s="98">
        <v>17</v>
      </c>
      <c r="F17" s="98">
        <v>11</v>
      </c>
      <c r="G17" s="98">
        <v>8</v>
      </c>
    </row>
    <row r="18" spans="1:7" ht="17" x14ac:dyDescent="0.15">
      <c r="A18" s="182"/>
      <c r="B18" s="97" t="s">
        <v>169</v>
      </c>
      <c r="C18" s="97" t="s">
        <v>170</v>
      </c>
      <c r="D18" s="98">
        <v>30</v>
      </c>
      <c r="E18" s="98">
        <v>19</v>
      </c>
      <c r="F18" s="98">
        <v>13</v>
      </c>
      <c r="G18" s="98">
        <v>8</v>
      </c>
    </row>
    <row r="19" spans="1:7" ht="45" customHeight="1" x14ac:dyDescent="0.15">
      <c r="A19" s="181" t="s">
        <v>220</v>
      </c>
      <c r="B19" s="181" t="s">
        <v>166</v>
      </c>
      <c r="C19" s="97" t="s">
        <v>167</v>
      </c>
      <c r="D19" s="98">
        <v>37</v>
      </c>
      <c r="E19" s="98">
        <v>20</v>
      </c>
      <c r="F19" s="98">
        <v>12</v>
      </c>
      <c r="G19" s="98">
        <v>9</v>
      </c>
    </row>
    <row r="20" spans="1:7" ht="17" x14ac:dyDescent="0.15">
      <c r="A20" s="183"/>
      <c r="B20" s="182"/>
      <c r="C20" s="97" t="s">
        <v>168</v>
      </c>
      <c r="D20" s="98">
        <v>42</v>
      </c>
      <c r="E20" s="98">
        <v>23</v>
      </c>
      <c r="F20" s="98">
        <v>14</v>
      </c>
      <c r="G20" s="98">
        <v>11</v>
      </c>
    </row>
    <row r="21" spans="1:7" ht="17" x14ac:dyDescent="0.15">
      <c r="A21" s="182"/>
      <c r="B21" s="97" t="s">
        <v>169</v>
      </c>
      <c r="C21" s="97" t="s">
        <v>170</v>
      </c>
      <c r="D21" s="98">
        <v>47</v>
      </c>
      <c r="E21" s="98">
        <v>25</v>
      </c>
      <c r="F21" s="98">
        <v>16</v>
      </c>
      <c r="G21" s="98">
        <v>13</v>
      </c>
    </row>
    <row r="22" spans="1:7" ht="17" x14ac:dyDescent="0.15">
      <c r="A22" s="181" t="s">
        <v>173</v>
      </c>
      <c r="B22" s="181" t="s">
        <v>166</v>
      </c>
      <c r="C22" s="97" t="s">
        <v>174</v>
      </c>
      <c r="D22" s="98">
        <v>24</v>
      </c>
      <c r="E22" s="98">
        <v>14</v>
      </c>
      <c r="F22" s="98">
        <v>8</v>
      </c>
      <c r="G22" s="98">
        <v>6</v>
      </c>
    </row>
    <row r="23" spans="1:7" ht="17" x14ac:dyDescent="0.15">
      <c r="A23" s="183"/>
      <c r="B23" s="183"/>
      <c r="C23" s="97" t="s">
        <v>175</v>
      </c>
      <c r="D23" s="98">
        <v>53</v>
      </c>
      <c r="E23" s="98">
        <v>23</v>
      </c>
      <c r="F23" s="98">
        <v>14</v>
      </c>
      <c r="G23" s="98">
        <v>9</v>
      </c>
    </row>
    <row r="24" spans="1:7" ht="17" x14ac:dyDescent="0.15">
      <c r="A24" s="183"/>
      <c r="B24" s="183"/>
      <c r="C24" s="97" t="s">
        <v>176</v>
      </c>
      <c r="D24" s="98" t="s">
        <v>177</v>
      </c>
      <c r="E24" s="98">
        <v>33</v>
      </c>
      <c r="F24" s="98">
        <v>18</v>
      </c>
      <c r="G24" s="98">
        <v>13</v>
      </c>
    </row>
    <row r="25" spans="1:7" ht="17" x14ac:dyDescent="0.15">
      <c r="A25" s="183"/>
      <c r="B25" s="182"/>
      <c r="C25" s="97" t="s">
        <v>178</v>
      </c>
      <c r="D25" s="98" t="s">
        <v>177</v>
      </c>
      <c r="E25" s="98">
        <v>41</v>
      </c>
      <c r="F25" s="98">
        <v>22</v>
      </c>
      <c r="G25" s="98">
        <v>15</v>
      </c>
    </row>
    <row r="26" spans="1:7" ht="17" x14ac:dyDescent="0.15">
      <c r="A26" s="183"/>
      <c r="B26" s="181" t="s">
        <v>169</v>
      </c>
      <c r="C26" s="97" t="s">
        <v>174</v>
      </c>
      <c r="D26" s="98">
        <v>58</v>
      </c>
      <c r="E26" s="98">
        <v>25</v>
      </c>
      <c r="F26" s="98">
        <v>12</v>
      </c>
      <c r="G26" s="98">
        <v>7</v>
      </c>
    </row>
    <row r="27" spans="1:7" ht="17" x14ac:dyDescent="0.15">
      <c r="A27" s="183"/>
      <c r="B27" s="183"/>
      <c r="C27" s="97" t="s">
        <v>175</v>
      </c>
      <c r="D27" s="98" t="s">
        <v>177</v>
      </c>
      <c r="E27" s="98">
        <v>35</v>
      </c>
      <c r="F27" s="98">
        <v>17</v>
      </c>
      <c r="G27" s="98">
        <v>10</v>
      </c>
    </row>
    <row r="28" spans="1:7" ht="17" x14ac:dyDescent="0.15">
      <c r="A28" s="183"/>
      <c r="B28" s="183"/>
      <c r="C28" s="97" t="s">
        <v>176</v>
      </c>
      <c r="D28" s="98" t="s">
        <v>177</v>
      </c>
      <c r="E28" s="98" t="s">
        <v>177</v>
      </c>
      <c r="F28" s="98">
        <v>22</v>
      </c>
      <c r="G28" s="98">
        <v>14</v>
      </c>
    </row>
    <row r="29" spans="1:7" ht="17" x14ac:dyDescent="0.15">
      <c r="A29" s="182"/>
      <c r="B29" s="182"/>
      <c r="C29" s="97" t="s">
        <v>178</v>
      </c>
      <c r="D29" s="98" t="s">
        <v>177</v>
      </c>
      <c r="E29" s="98" t="s">
        <v>177</v>
      </c>
      <c r="F29" s="98">
        <v>25</v>
      </c>
      <c r="G29" s="98">
        <v>16</v>
      </c>
    </row>
    <row r="30" spans="1:7" ht="17" x14ac:dyDescent="0.25">
      <c r="A30" s="181" t="s">
        <v>179</v>
      </c>
      <c r="B30" s="181" t="s">
        <v>166</v>
      </c>
      <c r="C30" s="97" t="s">
        <v>174</v>
      </c>
      <c r="D30" s="98">
        <v>62</v>
      </c>
      <c r="E30" s="98">
        <v>26</v>
      </c>
      <c r="F30" s="99">
        <v>15</v>
      </c>
      <c r="G30" s="98">
        <v>10</v>
      </c>
    </row>
    <row r="31" spans="1:7" ht="17" x14ac:dyDescent="0.25">
      <c r="A31" s="183"/>
      <c r="B31" s="183"/>
      <c r="C31" s="97" t="s">
        <v>175</v>
      </c>
      <c r="D31" s="98" t="s">
        <v>177</v>
      </c>
      <c r="E31" s="98">
        <v>34</v>
      </c>
      <c r="F31" s="99">
        <v>19</v>
      </c>
      <c r="G31" s="98">
        <v>14</v>
      </c>
    </row>
    <row r="32" spans="1:7" ht="17" x14ac:dyDescent="0.25">
      <c r="A32" s="183"/>
      <c r="B32" s="182"/>
      <c r="C32" s="97" t="s">
        <v>176</v>
      </c>
      <c r="D32" s="98" t="s">
        <v>177</v>
      </c>
      <c r="E32" s="98">
        <v>42</v>
      </c>
      <c r="F32" s="99">
        <v>22</v>
      </c>
      <c r="G32" s="98">
        <v>15</v>
      </c>
    </row>
    <row r="33" spans="1:16" ht="17" x14ac:dyDescent="0.25">
      <c r="A33" s="183"/>
      <c r="B33" s="181" t="s">
        <v>169</v>
      </c>
      <c r="C33" s="97" t="s">
        <v>174</v>
      </c>
      <c r="D33" s="98" t="s">
        <v>177</v>
      </c>
      <c r="E33" s="98">
        <v>34</v>
      </c>
      <c r="F33" s="99">
        <v>19</v>
      </c>
      <c r="G33" s="98">
        <v>14</v>
      </c>
    </row>
    <row r="34" spans="1:16" ht="17" x14ac:dyDescent="0.25">
      <c r="A34" s="183"/>
      <c r="B34" s="183"/>
      <c r="C34" s="97" t="s">
        <v>175</v>
      </c>
      <c r="D34" s="98" t="s">
        <v>177</v>
      </c>
      <c r="E34" s="98">
        <v>42</v>
      </c>
      <c r="F34" s="99">
        <v>22</v>
      </c>
      <c r="G34" s="98">
        <v>15</v>
      </c>
    </row>
    <row r="35" spans="1:16" ht="17" x14ac:dyDescent="0.25">
      <c r="A35" s="182"/>
      <c r="B35" s="182"/>
      <c r="C35" s="97" t="s">
        <v>176</v>
      </c>
      <c r="D35" s="98" t="s">
        <v>177</v>
      </c>
      <c r="E35" s="98">
        <v>50</v>
      </c>
      <c r="F35" s="99">
        <v>25</v>
      </c>
      <c r="G35" s="98">
        <v>16</v>
      </c>
    </row>
    <row r="36" spans="1:16" ht="75" customHeight="1" x14ac:dyDescent="0.15">
      <c r="A36" s="181" t="s">
        <v>180</v>
      </c>
      <c r="B36" s="184"/>
      <c r="C36" s="97" t="s">
        <v>181</v>
      </c>
      <c r="D36" s="98">
        <v>40</v>
      </c>
      <c r="E36" s="98">
        <v>17</v>
      </c>
      <c r="F36" s="98">
        <v>8</v>
      </c>
      <c r="G36" s="98">
        <v>5</v>
      </c>
    </row>
    <row r="37" spans="1:16" ht="17" x14ac:dyDescent="0.15">
      <c r="A37" s="183"/>
      <c r="B37" s="183"/>
      <c r="C37" s="97" t="s">
        <v>182</v>
      </c>
      <c r="D37" s="98">
        <v>60</v>
      </c>
      <c r="E37" s="98">
        <v>24</v>
      </c>
      <c r="F37" s="98">
        <v>14</v>
      </c>
      <c r="G37" s="98">
        <v>10</v>
      </c>
    </row>
    <row r="38" spans="1:16" ht="17" x14ac:dyDescent="0.15">
      <c r="A38" s="183"/>
      <c r="B38" s="183"/>
      <c r="C38" s="97" t="s">
        <v>175</v>
      </c>
      <c r="D38" s="98" t="s">
        <v>177</v>
      </c>
      <c r="E38" s="98">
        <v>34</v>
      </c>
      <c r="F38" s="98">
        <v>22</v>
      </c>
      <c r="G38" s="98">
        <v>16</v>
      </c>
    </row>
    <row r="39" spans="1:16" ht="17" x14ac:dyDescent="0.15">
      <c r="A39" s="183"/>
      <c r="B39" s="183"/>
      <c r="C39" s="97" t="s">
        <v>183</v>
      </c>
      <c r="D39" s="98" t="s">
        <v>177</v>
      </c>
      <c r="E39" s="98">
        <v>47</v>
      </c>
      <c r="F39" s="98">
        <v>31</v>
      </c>
      <c r="G39" s="98">
        <v>23</v>
      </c>
    </row>
    <row r="40" spans="1:16" ht="17" x14ac:dyDescent="0.15">
      <c r="A40" s="182"/>
      <c r="B40" s="182"/>
      <c r="C40" s="97" t="s">
        <v>184</v>
      </c>
      <c r="D40" s="98" t="s">
        <v>177</v>
      </c>
      <c r="E40" s="98">
        <v>65</v>
      </c>
      <c r="F40" s="98">
        <v>43</v>
      </c>
      <c r="G40" s="98">
        <v>33</v>
      </c>
    </row>
    <row r="41" spans="1:16" ht="15" customHeight="1" x14ac:dyDescent="0.25">
      <c r="A41" s="179" t="s">
        <v>215</v>
      </c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</row>
    <row r="42" spans="1:16" ht="15" customHeight="1" x14ac:dyDescent="0.25">
      <c r="A42" s="179" t="s">
        <v>216</v>
      </c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</row>
    <row r="43" spans="1:16" ht="15" customHeight="1" x14ac:dyDescent="0.25">
      <c r="A43" s="179" t="s">
        <v>217</v>
      </c>
      <c r="B43" s="180"/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</row>
    <row r="44" spans="1:16" ht="15" customHeight="1" x14ac:dyDescent="0.25">
      <c r="A44" s="179" t="s">
        <v>218</v>
      </c>
      <c r="B44" s="180"/>
      <c r="C44" s="180"/>
      <c r="D44" s="180"/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</row>
    <row r="46" spans="1:16" ht="34" x14ac:dyDescent="0.15">
      <c r="A46" s="102" t="s">
        <v>185</v>
      </c>
      <c r="B46" s="103" t="s">
        <v>161</v>
      </c>
      <c r="C46" s="103" t="s">
        <v>222</v>
      </c>
    </row>
    <row r="47" spans="1:16" ht="30" customHeight="1" x14ac:dyDescent="0.15">
      <c r="A47" s="181" t="s">
        <v>186</v>
      </c>
      <c r="B47" s="97" t="s">
        <v>166</v>
      </c>
      <c r="C47" s="98">
        <v>3</v>
      </c>
    </row>
    <row r="48" spans="1:16" ht="17" x14ac:dyDescent="0.15">
      <c r="A48" s="182"/>
      <c r="B48" s="97" t="s">
        <v>169</v>
      </c>
      <c r="C48" s="98">
        <v>5</v>
      </c>
    </row>
    <row r="49" spans="1:16" ht="45" customHeight="1" x14ac:dyDescent="0.15">
      <c r="A49" s="181" t="s">
        <v>187</v>
      </c>
      <c r="B49" s="97" t="s">
        <v>166</v>
      </c>
      <c r="C49" s="98">
        <v>2</v>
      </c>
    </row>
    <row r="50" spans="1:16" ht="17" x14ac:dyDescent="0.15">
      <c r="A50" s="182"/>
      <c r="B50" s="97" t="s">
        <v>169</v>
      </c>
      <c r="C50" s="98">
        <v>4</v>
      </c>
    </row>
    <row r="51" spans="1:16" ht="30" customHeight="1" x14ac:dyDescent="0.15">
      <c r="A51" s="177" t="s">
        <v>188</v>
      </c>
      <c r="B51" s="178"/>
      <c r="C51" s="98">
        <v>2</v>
      </c>
    </row>
    <row r="52" spans="1:16" ht="15" customHeight="1" x14ac:dyDescent="0.15">
      <c r="A52" s="177" t="s">
        <v>189</v>
      </c>
      <c r="B52" s="178"/>
      <c r="C52" s="98">
        <v>1.5</v>
      </c>
    </row>
    <row r="53" spans="1:16" ht="30" customHeight="1" x14ac:dyDescent="0.15">
      <c r="A53" s="177" t="s">
        <v>221</v>
      </c>
      <c r="B53" s="178"/>
      <c r="C53" s="98">
        <v>1</v>
      </c>
    </row>
    <row r="54" spans="1:16" ht="15" customHeight="1" x14ac:dyDescent="0.25">
      <c r="A54" s="179"/>
      <c r="B54" s="180"/>
      <c r="C54" s="180"/>
      <c r="D54" s="180"/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</row>
    <row r="56" spans="1:16" ht="26.25" customHeight="1" x14ac:dyDescent="0.15"/>
    <row r="57" spans="1:16" ht="21" customHeight="1" x14ac:dyDescent="0.15"/>
    <row r="67" ht="30" customHeight="1" x14ac:dyDescent="0.15"/>
  </sheetData>
  <mergeCells count="34">
    <mergeCell ref="A7:A9"/>
    <mergeCell ref="B7:B8"/>
    <mergeCell ref="A10:A12"/>
    <mergeCell ref="B10:B11"/>
    <mergeCell ref="A2:P2"/>
    <mergeCell ref="A3:P3"/>
    <mergeCell ref="A5:A6"/>
    <mergeCell ref="B5:B6"/>
    <mergeCell ref="C5:C6"/>
    <mergeCell ref="D5:G5"/>
    <mergeCell ref="A19:A21"/>
    <mergeCell ref="B19:B20"/>
    <mergeCell ref="A22:A29"/>
    <mergeCell ref="B22:B25"/>
    <mergeCell ref="B26:B29"/>
    <mergeCell ref="A13:A15"/>
    <mergeCell ref="B13:B14"/>
    <mergeCell ref="A16:A18"/>
    <mergeCell ref="B16:B17"/>
    <mergeCell ref="A41:P41"/>
    <mergeCell ref="A42:P42"/>
    <mergeCell ref="A43:P43"/>
    <mergeCell ref="A44:P44"/>
    <mergeCell ref="A30:A35"/>
    <mergeCell ref="B30:B32"/>
    <mergeCell ref="B33:B35"/>
    <mergeCell ref="A36:A40"/>
    <mergeCell ref="B36:B40"/>
    <mergeCell ref="A53:B53"/>
    <mergeCell ref="A54:P54"/>
    <mergeCell ref="A47:A48"/>
    <mergeCell ref="A49:A50"/>
    <mergeCell ref="A51:B51"/>
    <mergeCell ref="A52:B52"/>
  </mergeCells>
  <phoneticPr fontId="0" type="noConversion"/>
  <pageMargins left="0.75" right="0.75" top="1" bottom="1" header="0" footer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EFD65-BFC9-0545-BE35-E55E4421EFBC}">
  <dimension ref="A1:P15"/>
  <sheetViews>
    <sheetView workbookViewId="0">
      <selection activeCell="G20" sqref="G20"/>
    </sheetView>
  </sheetViews>
  <sheetFormatPr baseColWidth="10" defaultRowHeight="13" x14ac:dyDescent="0.15"/>
  <cols>
    <col min="2" max="2" width="19.33203125" customWidth="1"/>
  </cols>
  <sheetData>
    <row r="1" spans="1:16" ht="24" x14ac:dyDescent="0.4">
      <c r="A1" s="185" t="s">
        <v>223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</row>
    <row r="2" spans="1:16" ht="17" x14ac:dyDescent="0.25">
      <c r="A2" s="187" t="s">
        <v>224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</row>
    <row r="4" spans="1:16" ht="17" x14ac:dyDescent="0.15">
      <c r="A4" s="181" t="s">
        <v>190</v>
      </c>
      <c r="B4" s="104" t="s">
        <v>191</v>
      </c>
      <c r="C4" s="181" t="s">
        <v>192</v>
      </c>
      <c r="D4" s="181" t="s">
        <v>193</v>
      </c>
      <c r="E4" s="181" t="s">
        <v>194</v>
      </c>
    </row>
    <row r="5" spans="1:16" ht="17" x14ac:dyDescent="0.15">
      <c r="A5" s="190"/>
      <c r="B5" s="100" t="s">
        <v>225</v>
      </c>
      <c r="C5" s="190"/>
      <c r="D5" s="190"/>
      <c r="E5" s="190"/>
    </row>
    <row r="6" spans="1:16" ht="17" x14ac:dyDescent="0.15">
      <c r="A6" s="191"/>
      <c r="B6" s="97" t="s">
        <v>226</v>
      </c>
      <c r="C6" s="191"/>
      <c r="D6" s="191"/>
      <c r="E6" s="191"/>
    </row>
    <row r="7" spans="1:16" ht="51" x14ac:dyDescent="0.15">
      <c r="A7" s="105" t="s">
        <v>40</v>
      </c>
      <c r="B7" s="98" t="s">
        <v>227</v>
      </c>
      <c r="C7" s="98" t="s">
        <v>195</v>
      </c>
      <c r="D7" s="98" t="s">
        <v>196</v>
      </c>
      <c r="E7" s="98" t="s">
        <v>197</v>
      </c>
    </row>
    <row r="8" spans="1:16" ht="34" x14ac:dyDescent="0.15">
      <c r="A8" s="192" t="s">
        <v>164</v>
      </c>
      <c r="B8" s="192" t="s">
        <v>198</v>
      </c>
      <c r="C8" s="192" t="s">
        <v>199</v>
      </c>
      <c r="D8" s="101" t="s">
        <v>200</v>
      </c>
      <c r="E8" s="192" t="s">
        <v>204</v>
      </c>
    </row>
    <row r="9" spans="1:16" ht="17" x14ac:dyDescent="0.15">
      <c r="A9" s="193"/>
      <c r="B9" s="193"/>
      <c r="C9" s="193"/>
      <c r="D9" s="101" t="s">
        <v>201</v>
      </c>
      <c r="E9" s="193"/>
    </row>
    <row r="10" spans="1:16" ht="51" x14ac:dyDescent="0.15">
      <c r="A10" s="193"/>
      <c r="B10" s="193"/>
      <c r="C10" s="193"/>
      <c r="D10" s="101" t="s">
        <v>202</v>
      </c>
      <c r="E10" s="193"/>
    </row>
    <row r="11" spans="1:16" ht="34" x14ac:dyDescent="0.15">
      <c r="A11" s="194"/>
      <c r="B11" s="194"/>
      <c r="C11" s="194"/>
      <c r="D11" s="98" t="s">
        <v>203</v>
      </c>
      <c r="E11" s="194"/>
    </row>
    <row r="12" spans="1:16" ht="68" x14ac:dyDescent="0.15">
      <c r="A12" s="192" t="s">
        <v>1</v>
      </c>
      <c r="B12" s="192" t="s">
        <v>205</v>
      </c>
      <c r="C12" s="192" t="s">
        <v>228</v>
      </c>
      <c r="D12" s="101" t="s">
        <v>206</v>
      </c>
      <c r="E12" s="192" t="s">
        <v>208</v>
      </c>
    </row>
    <row r="13" spans="1:16" ht="51" x14ac:dyDescent="0.15">
      <c r="A13" s="194"/>
      <c r="B13" s="194"/>
      <c r="C13" s="194"/>
      <c r="D13" s="98" t="s">
        <v>207</v>
      </c>
      <c r="E13" s="194"/>
    </row>
    <row r="14" spans="1:16" ht="34" x14ac:dyDescent="0.15">
      <c r="A14" s="192" t="s">
        <v>134</v>
      </c>
      <c r="B14" s="192" t="s">
        <v>209</v>
      </c>
      <c r="C14" s="101" t="s">
        <v>229</v>
      </c>
      <c r="D14" s="192" t="s">
        <v>211</v>
      </c>
      <c r="E14" s="192" t="s">
        <v>212</v>
      </c>
    </row>
    <row r="15" spans="1:16" ht="34" x14ac:dyDescent="0.15">
      <c r="A15" s="194"/>
      <c r="B15" s="194"/>
      <c r="C15" s="98" t="s">
        <v>210</v>
      </c>
      <c r="D15" s="194"/>
      <c r="E15" s="194"/>
    </row>
  </sheetData>
  <mergeCells count="18">
    <mergeCell ref="A14:A15"/>
    <mergeCell ref="B14:B15"/>
    <mergeCell ref="D14:D15"/>
    <mergeCell ref="E14:E15"/>
    <mergeCell ref="A8:A11"/>
    <mergeCell ref="B8:B11"/>
    <mergeCell ref="C8:C11"/>
    <mergeCell ref="E8:E11"/>
    <mergeCell ref="A12:A13"/>
    <mergeCell ref="B12:B13"/>
    <mergeCell ref="C12:C13"/>
    <mergeCell ref="E12:E13"/>
    <mergeCell ref="A1:P1"/>
    <mergeCell ref="A2:P2"/>
    <mergeCell ref="A4:A6"/>
    <mergeCell ref="C4:C6"/>
    <mergeCell ref="D4:D6"/>
    <mergeCell ref="E4:E6"/>
  </mergeCells>
  <phoneticPr fontId="0" type="noConversion"/>
  <pageMargins left="0.75" right="0.75" top="1" bottom="1" header="0" footer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3567F-A6DA-0E4C-AEB2-04391711D4C4}">
  <dimension ref="A1:H43"/>
  <sheetViews>
    <sheetView workbookViewId="0">
      <pane xSplit="1" topLeftCell="B1" activePane="topRight" state="frozen"/>
      <selection activeCell="A4" sqref="A4"/>
      <selection pane="topRight" activeCell="E43" sqref="E43"/>
    </sheetView>
  </sheetViews>
  <sheetFormatPr baseColWidth="10" defaultColWidth="11.5" defaultRowHeight="16" x14ac:dyDescent="0.2"/>
  <cols>
    <col min="1" max="1" width="42.5" style="3" customWidth="1"/>
    <col min="2" max="2" width="2.5" style="3" customWidth="1"/>
    <col min="3" max="3" width="15.5" style="3" bestFit="1" customWidth="1"/>
    <col min="4" max="4" width="44.33203125" style="3" customWidth="1"/>
    <col min="5" max="7" width="14" style="3" bestFit="1" customWidth="1"/>
    <col min="8" max="8" width="14" style="3" customWidth="1"/>
    <col min="9" max="16384" width="11.5" style="3"/>
  </cols>
  <sheetData>
    <row r="1" spans="1:8" ht="23" x14ac:dyDescent="0.25">
      <c r="A1" s="129" t="s">
        <v>264</v>
      </c>
    </row>
    <row r="4" spans="1:8" ht="18" thickBot="1" x14ac:dyDescent="0.25">
      <c r="A4" s="1" t="s">
        <v>3</v>
      </c>
      <c r="B4" s="2"/>
      <c r="C4" s="2"/>
      <c r="D4" s="2"/>
      <c r="E4" s="2"/>
      <c r="F4" s="2"/>
      <c r="G4" s="2"/>
      <c r="H4" s="2"/>
    </row>
    <row r="5" spans="1:8" ht="17" thickTop="1" x14ac:dyDescent="0.2">
      <c r="A5" s="4"/>
      <c r="B5" s="4"/>
      <c r="C5" s="4"/>
      <c r="D5" s="4"/>
      <c r="E5" s="4"/>
      <c r="F5" s="4"/>
      <c r="G5" s="4"/>
      <c r="H5" s="4"/>
    </row>
    <row r="6" spans="1:8" ht="51" x14ac:dyDescent="0.2">
      <c r="A6" s="4" t="s">
        <v>142</v>
      </c>
      <c r="B6" s="4"/>
      <c r="C6" s="70" t="s">
        <v>41</v>
      </c>
      <c r="D6" s="71" t="s">
        <v>4</v>
      </c>
      <c r="E6" s="117" t="e">
        <f>0.3*('Datos de la cuenca'!C17/'Datos de la cuenca'!F17^0.25)^0.76</f>
        <v>#VALUE!</v>
      </c>
      <c r="F6" s="4"/>
      <c r="G6" s="4"/>
      <c r="H6" s="4"/>
    </row>
    <row r="7" spans="1:8" x14ac:dyDescent="0.2">
      <c r="A7" s="4"/>
      <c r="B7" s="4"/>
      <c r="C7" s="15"/>
      <c r="D7" s="59"/>
      <c r="E7" s="4"/>
      <c r="F7" s="4"/>
      <c r="G7" s="4"/>
      <c r="H7" s="4"/>
    </row>
    <row r="8" spans="1:8" ht="18" thickBot="1" x14ac:dyDescent="0.25">
      <c r="A8" s="1" t="s">
        <v>2</v>
      </c>
      <c r="B8" s="2"/>
      <c r="C8" s="2"/>
      <c r="D8" s="2"/>
      <c r="E8" s="2"/>
      <c r="F8" s="2"/>
      <c r="G8" s="2"/>
      <c r="H8" s="2"/>
    </row>
    <row r="9" spans="1:8" ht="17" thickTop="1" x14ac:dyDescent="0.2">
      <c r="A9" s="4"/>
      <c r="B9" s="4"/>
      <c r="C9" s="4"/>
      <c r="D9" s="4"/>
      <c r="E9" s="4"/>
      <c r="F9" s="4"/>
      <c r="G9" s="4"/>
      <c r="H9" s="4"/>
    </row>
    <row r="10" spans="1:8" ht="34" x14ac:dyDescent="0.2">
      <c r="A10" s="4" t="s">
        <v>6</v>
      </c>
      <c r="B10" s="4"/>
      <c r="C10" s="4" t="s">
        <v>9</v>
      </c>
      <c r="D10" s="4" t="s">
        <v>5</v>
      </c>
      <c r="E10" s="58" t="s">
        <v>52</v>
      </c>
      <c r="F10" s="4"/>
      <c r="G10" s="4"/>
      <c r="H10" s="4"/>
    </row>
    <row r="11" spans="1:8" ht="17" x14ac:dyDescent="0.2">
      <c r="A11" s="4" t="s">
        <v>11</v>
      </c>
      <c r="B11" s="4"/>
      <c r="C11" s="4" t="s">
        <v>10</v>
      </c>
      <c r="D11" s="4" t="s">
        <v>5</v>
      </c>
      <c r="E11" s="58" t="s">
        <v>10</v>
      </c>
      <c r="F11" s="4"/>
      <c r="G11" s="4"/>
      <c r="H11" s="4"/>
    </row>
    <row r="12" spans="1:8" x14ac:dyDescent="0.2">
      <c r="A12" s="4"/>
      <c r="B12" s="4"/>
      <c r="C12" s="4"/>
      <c r="D12" s="4"/>
      <c r="E12" s="4"/>
      <c r="F12" s="4"/>
      <c r="G12" s="4"/>
      <c r="H12" s="4"/>
    </row>
    <row r="13" spans="1:8" ht="17" x14ac:dyDescent="0.2">
      <c r="A13" s="4" t="s">
        <v>13</v>
      </c>
      <c r="B13" s="4"/>
      <c r="C13" s="64" t="s">
        <v>12</v>
      </c>
      <c r="D13" s="65"/>
      <c r="E13" s="66" t="s">
        <v>45</v>
      </c>
      <c r="F13" s="66" t="s">
        <v>44</v>
      </c>
      <c r="G13" s="66" t="s">
        <v>43</v>
      </c>
      <c r="H13" s="67" t="s">
        <v>46</v>
      </c>
    </row>
    <row r="14" spans="1:8" ht="17" x14ac:dyDescent="0.2">
      <c r="A14" s="4" t="s">
        <v>15</v>
      </c>
      <c r="B14" s="4"/>
      <c r="C14" s="61" t="s">
        <v>14</v>
      </c>
      <c r="D14" s="107" t="s">
        <v>230</v>
      </c>
      <c r="E14" s="62" t="s">
        <v>138</v>
      </c>
      <c r="F14" s="62" t="s">
        <v>139</v>
      </c>
      <c r="G14" s="62" t="s">
        <v>140</v>
      </c>
      <c r="H14" s="63" t="s">
        <v>141</v>
      </c>
    </row>
    <row r="15" spans="1:8" ht="34" x14ac:dyDescent="0.2">
      <c r="A15" s="4" t="s">
        <v>7</v>
      </c>
      <c r="B15" s="4"/>
      <c r="C15" s="68" t="s">
        <v>8</v>
      </c>
      <c r="D15" s="5" t="s">
        <v>16</v>
      </c>
      <c r="E15" s="118" t="e">
        <f>$E$10*E14</f>
        <v>#VALUE!</v>
      </c>
      <c r="F15" s="118" t="e">
        <f>$E$10*F14</f>
        <v>#VALUE!</v>
      </c>
      <c r="G15" s="118" t="e">
        <f>$E$10*G14</f>
        <v>#VALUE!</v>
      </c>
      <c r="H15" s="119" t="e">
        <f>$E$10*H14</f>
        <v>#VALUE!</v>
      </c>
    </row>
    <row r="16" spans="1:8" x14ac:dyDescent="0.2">
      <c r="A16" s="4"/>
      <c r="B16" s="4"/>
      <c r="C16" s="4"/>
      <c r="D16" s="4"/>
      <c r="E16" s="4"/>
      <c r="F16" s="4"/>
      <c r="G16" s="4"/>
      <c r="H16" s="4"/>
    </row>
    <row r="17" spans="1:8" ht="18" thickBot="1" x14ac:dyDescent="0.25">
      <c r="A17" s="1" t="s">
        <v>17</v>
      </c>
      <c r="B17" s="2"/>
      <c r="C17" s="2"/>
      <c r="D17" s="2"/>
      <c r="E17" s="2"/>
      <c r="F17" s="2"/>
      <c r="G17" s="2"/>
      <c r="H17" s="2"/>
    </row>
    <row r="18" spans="1:8" ht="17" thickTop="1" x14ac:dyDescent="0.2">
      <c r="A18" s="4"/>
      <c r="B18" s="4"/>
      <c r="C18" s="4"/>
      <c r="D18" s="4"/>
      <c r="E18" s="4"/>
      <c r="F18" s="4"/>
      <c r="G18" s="4"/>
      <c r="H18" s="4"/>
    </row>
    <row r="19" spans="1:8" ht="17" x14ac:dyDescent="0.2">
      <c r="A19" s="4"/>
      <c r="B19" s="4"/>
      <c r="C19" s="64" t="s">
        <v>12</v>
      </c>
      <c r="D19" s="65"/>
      <c r="E19" s="66" t="s">
        <v>45</v>
      </c>
      <c r="F19" s="66" t="s">
        <v>44</v>
      </c>
      <c r="G19" s="66" t="s">
        <v>43</v>
      </c>
      <c r="H19" s="67" t="s">
        <v>46</v>
      </c>
    </row>
    <row r="20" spans="1:8" ht="48.75" customHeight="1" x14ac:dyDescent="0.2">
      <c r="A20" s="4" t="s">
        <v>19</v>
      </c>
      <c r="B20" s="4"/>
      <c r="C20" s="73" t="s">
        <v>18</v>
      </c>
      <c r="D20" s="72" t="s">
        <v>20</v>
      </c>
      <c r="E20" s="120" t="e">
        <f>E15/24</f>
        <v>#VALUE!</v>
      </c>
      <c r="F20" s="121" t="e">
        <f>F15/24</f>
        <v>#VALUE!</v>
      </c>
      <c r="G20" s="121" t="e">
        <f>G15/24</f>
        <v>#VALUE!</v>
      </c>
      <c r="H20" s="122" t="e">
        <f>H15/24</f>
        <v>#VALUE!</v>
      </c>
    </row>
    <row r="21" spans="1:8" x14ac:dyDescent="0.2">
      <c r="A21" s="4"/>
      <c r="B21" s="4"/>
      <c r="C21" s="4"/>
      <c r="D21" s="4"/>
      <c r="E21" s="4"/>
      <c r="F21" s="4"/>
      <c r="G21" s="4"/>
      <c r="H21" s="4"/>
    </row>
    <row r="22" spans="1:8" ht="51" x14ac:dyDescent="0.2">
      <c r="A22" s="4" t="s">
        <v>49</v>
      </c>
      <c r="B22" s="4"/>
      <c r="C22" s="4" t="s">
        <v>21</v>
      </c>
      <c r="E22" s="4"/>
      <c r="F22" s="4"/>
      <c r="G22" s="4"/>
      <c r="H22" s="4"/>
    </row>
    <row r="23" spans="1:8" x14ac:dyDescent="0.2">
      <c r="A23" s="4"/>
      <c r="B23" s="4"/>
      <c r="C23" s="4"/>
      <c r="D23" s="4"/>
      <c r="E23" s="4"/>
      <c r="F23" s="4"/>
      <c r="G23" s="4"/>
      <c r="H23" s="4"/>
    </row>
    <row r="24" spans="1:8" ht="17" x14ac:dyDescent="0.2">
      <c r="A24" s="4" t="s">
        <v>144</v>
      </c>
      <c r="B24" s="4"/>
      <c r="C24" s="4" t="s">
        <v>23</v>
      </c>
      <c r="D24" s="4" t="s">
        <v>24</v>
      </c>
      <c r="E24" s="106">
        <v>10</v>
      </c>
      <c r="F24" s="4"/>
      <c r="G24" s="4"/>
      <c r="H24" s="4"/>
    </row>
    <row r="25" spans="1:8" x14ac:dyDescent="0.2">
      <c r="A25" s="4"/>
      <c r="B25" s="4"/>
      <c r="C25" s="4"/>
      <c r="D25" s="4"/>
      <c r="E25" s="4"/>
      <c r="F25" s="4"/>
      <c r="G25" s="4"/>
      <c r="H25" s="4"/>
    </row>
    <row r="26" spans="1:8" ht="15.75" customHeight="1" x14ac:dyDescent="0.2">
      <c r="B26" s="4"/>
      <c r="C26" s="79" t="s">
        <v>12</v>
      </c>
      <c r="D26" s="80"/>
      <c r="E26" s="81" t="s">
        <v>45</v>
      </c>
      <c r="F26" s="66" t="s">
        <v>44</v>
      </c>
      <c r="G26" s="66" t="s">
        <v>43</v>
      </c>
      <c r="H26" s="67" t="s">
        <v>46</v>
      </c>
    </row>
    <row r="27" spans="1:8" ht="51" x14ac:dyDescent="0.2">
      <c r="A27" s="4" t="s">
        <v>22</v>
      </c>
      <c r="C27" s="76" t="s">
        <v>25</v>
      </c>
      <c r="D27" s="77" t="s">
        <v>26</v>
      </c>
      <c r="E27" s="123" t="e">
        <f>E20*$E$24^((1.4-$E$6^0.1)/0.4)</f>
        <v>#VALUE!</v>
      </c>
      <c r="F27" s="124" t="e">
        <f>F20*$E$24^((1.4-$E$6^0.1)/0.4)</f>
        <v>#VALUE!</v>
      </c>
      <c r="G27" s="124" t="e">
        <f>G20*$E$24^((1.4-$E$6^0.1)/0.4)</f>
        <v>#VALUE!</v>
      </c>
      <c r="H27" s="125" t="e">
        <f>H20*$E$24^((1.4-$E$6^0.1)/0.4)</f>
        <v>#VALUE!</v>
      </c>
    </row>
    <row r="29" spans="1:8" ht="17" thickBot="1" x14ac:dyDescent="0.25">
      <c r="A29" s="8" t="s">
        <v>0</v>
      </c>
      <c r="B29" s="9"/>
      <c r="C29" s="9"/>
      <c r="D29" s="9"/>
      <c r="E29" s="9"/>
      <c r="F29" s="9"/>
      <c r="G29" s="9"/>
      <c r="H29" s="9"/>
    </row>
    <row r="30" spans="1:8" ht="17" thickTop="1" x14ac:dyDescent="0.2"/>
    <row r="31" spans="1:8" x14ac:dyDescent="0.2">
      <c r="A31" s="3" t="s">
        <v>27</v>
      </c>
      <c r="C31" s="3" t="s">
        <v>32</v>
      </c>
      <c r="D31" s="3" t="s">
        <v>54</v>
      </c>
      <c r="E31" s="30" t="s">
        <v>42</v>
      </c>
    </row>
    <row r="32" spans="1:8" x14ac:dyDescent="0.2">
      <c r="A32" s="3" t="s">
        <v>29</v>
      </c>
      <c r="C32" s="3" t="s">
        <v>28</v>
      </c>
      <c r="D32" s="3" t="s">
        <v>55</v>
      </c>
      <c r="E32" s="39">
        <v>2.4500000000000002</v>
      </c>
    </row>
    <row r="33" spans="1:8" x14ac:dyDescent="0.2">
      <c r="A33" s="3" t="s">
        <v>31</v>
      </c>
      <c r="C33" s="14" t="s">
        <v>33</v>
      </c>
      <c r="D33" s="3" t="s">
        <v>30</v>
      </c>
      <c r="E33" s="51" t="e">
        <f>E31*E32</f>
        <v>#VALUE!</v>
      </c>
    </row>
    <row r="35" spans="1:8" ht="17" x14ac:dyDescent="0.2">
      <c r="C35" s="79" t="s">
        <v>12</v>
      </c>
      <c r="D35" s="80"/>
      <c r="E35" s="81" t="s">
        <v>45</v>
      </c>
      <c r="F35" s="66" t="s">
        <v>44</v>
      </c>
      <c r="G35" s="66" t="s">
        <v>43</v>
      </c>
      <c r="H35" s="67" t="s">
        <v>46</v>
      </c>
    </row>
    <row r="36" spans="1:8" x14ac:dyDescent="0.2">
      <c r="A36" s="3" t="s">
        <v>0</v>
      </c>
      <c r="C36" s="75" t="s">
        <v>1</v>
      </c>
      <c r="D36" s="78" t="s">
        <v>34</v>
      </c>
      <c r="E36" s="126" t="e">
        <f>(E$15/$E$33-1)*(E$15/$E$33+23)/(E$15/$E$33+11)^2</f>
        <v>#VALUE!</v>
      </c>
      <c r="F36" s="127" t="e">
        <f>(F$15/$E$33-1)*(F$15/$E$33+23)/(F$15/$E$33+11)^2</f>
        <v>#VALUE!</v>
      </c>
      <c r="G36" s="127" t="e">
        <f>(G$15/$E$33-1)*(G$15/$E$33+23)/(G$15/$E$33+11)^2</f>
        <v>#VALUE!</v>
      </c>
      <c r="H36" s="128" t="e">
        <f>(H$15/$E$33-1)*(H$15/$E$33+23)/(H$15/$E$33+11)^2</f>
        <v>#VALUE!</v>
      </c>
    </row>
    <row r="37" spans="1:8" x14ac:dyDescent="0.2">
      <c r="D37" s="16"/>
      <c r="E37" s="57"/>
      <c r="F37" s="7"/>
      <c r="G37" s="7"/>
      <c r="H37" s="7"/>
    </row>
    <row r="38" spans="1:8" ht="17" thickBot="1" x14ac:dyDescent="0.25">
      <c r="A38" s="8" t="s">
        <v>272</v>
      </c>
      <c r="B38" s="9"/>
      <c r="C38" s="9"/>
      <c r="D38" s="9"/>
      <c r="E38" s="9"/>
      <c r="F38" s="9"/>
      <c r="G38" s="9"/>
      <c r="H38" s="9"/>
    </row>
    <row r="39" spans="1:8" ht="17" thickTop="1" x14ac:dyDescent="0.2">
      <c r="A39" s="82"/>
      <c r="B39" s="16"/>
      <c r="C39" s="16"/>
      <c r="D39" s="16"/>
      <c r="E39" s="16"/>
      <c r="F39" s="16"/>
      <c r="G39" s="16"/>
      <c r="H39" s="16"/>
    </row>
    <row r="40" spans="1:8" x14ac:dyDescent="0.2">
      <c r="A40" s="3" t="s">
        <v>147</v>
      </c>
      <c r="B40" s="16"/>
      <c r="C40" s="16" t="s">
        <v>145</v>
      </c>
      <c r="D40" s="16" t="s">
        <v>146</v>
      </c>
      <c r="E40" s="29">
        <v>3</v>
      </c>
      <c r="F40" s="16"/>
      <c r="G40" s="16"/>
      <c r="H40" s="16"/>
    </row>
    <row r="41" spans="1:8" ht="17" thickBot="1" x14ac:dyDescent="0.25">
      <c r="D41" s="16"/>
      <c r="E41" s="57"/>
      <c r="F41" s="7"/>
      <c r="G41" s="7"/>
      <c r="H41" s="7"/>
    </row>
    <row r="42" spans="1:8" ht="17" x14ac:dyDescent="0.2">
      <c r="C42" s="83" t="s">
        <v>12</v>
      </c>
      <c r="D42" s="84"/>
      <c r="E42" s="85" t="s">
        <v>45</v>
      </c>
      <c r="F42" s="86" t="s">
        <v>44</v>
      </c>
      <c r="G42" s="86" t="s">
        <v>43</v>
      </c>
      <c r="H42" s="87" t="s">
        <v>46</v>
      </c>
    </row>
    <row r="43" spans="1:8" ht="19" thickBot="1" x14ac:dyDescent="0.25">
      <c r="A43" s="140" t="s">
        <v>148</v>
      </c>
      <c r="C43" s="147" t="s">
        <v>47</v>
      </c>
      <c r="D43" s="88" t="s">
        <v>35</v>
      </c>
      <c r="E43" s="148" t="e">
        <f>E36*'Datos de la cuenca'!$D$19*E27/3</f>
        <v>#VALUE!</v>
      </c>
      <c r="F43" s="149" t="e">
        <f>F36*'Datos de la cuenca'!$D$19*F27/3</f>
        <v>#VALUE!</v>
      </c>
      <c r="G43" s="149" t="e">
        <f>G36*'Datos de la cuenca'!$D$19*G27/3</f>
        <v>#VALUE!</v>
      </c>
      <c r="H43" s="150" t="e">
        <f>H36*'Datos de la cuenca'!$D$19*H27/3</f>
        <v>#VALUE!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7D47-7CB5-4540-9B72-07132E954656}">
  <dimension ref="A1:I103"/>
  <sheetViews>
    <sheetView topLeftCell="A79" workbookViewId="0">
      <selection activeCell="F105" sqref="F105"/>
    </sheetView>
  </sheetViews>
  <sheetFormatPr baseColWidth="10" defaultColWidth="11.5" defaultRowHeight="16" x14ac:dyDescent="0.2"/>
  <cols>
    <col min="1" max="1" width="22.33203125" style="3" customWidth="1"/>
    <col min="2" max="2" width="26.5" style="3" customWidth="1"/>
    <col min="3" max="3" width="18.5" style="3" customWidth="1"/>
    <col min="4" max="4" width="18.33203125" style="3" customWidth="1"/>
    <col min="5" max="5" width="15.1640625" style="3" customWidth="1"/>
    <col min="6" max="6" width="13.5" style="3" customWidth="1"/>
    <col min="7" max="7" width="16.33203125" style="3" customWidth="1"/>
    <col min="8" max="8" width="12.5" style="3" customWidth="1"/>
    <col min="9" max="16384" width="11.5" style="3"/>
  </cols>
  <sheetData>
    <row r="1" spans="1:8" ht="23" x14ac:dyDescent="0.25">
      <c r="A1" s="129" t="s">
        <v>267</v>
      </c>
    </row>
    <row r="4" spans="1:8" x14ac:dyDescent="0.2">
      <c r="A4" s="14" t="s">
        <v>56</v>
      </c>
    </row>
    <row r="6" spans="1:8" ht="17" thickBot="1" x14ac:dyDescent="0.25">
      <c r="A6" s="8" t="s">
        <v>58</v>
      </c>
      <c r="B6" s="9"/>
      <c r="C6" s="9"/>
      <c r="D6" s="9"/>
      <c r="E6" s="9"/>
      <c r="F6" s="9"/>
      <c r="G6" s="9"/>
      <c r="H6" s="9"/>
    </row>
    <row r="7" spans="1:8" ht="17" thickTop="1" x14ac:dyDescent="0.2"/>
    <row r="8" spans="1:8" x14ac:dyDescent="0.2">
      <c r="A8" s="3" t="s">
        <v>57</v>
      </c>
    </row>
    <row r="10" spans="1:8" x14ac:dyDescent="0.2">
      <c r="A10" s="14" t="s">
        <v>59</v>
      </c>
    </row>
    <row r="12" spans="1:8" x14ac:dyDescent="0.2">
      <c r="B12" s="18" t="s">
        <v>149</v>
      </c>
      <c r="C12" s="19" t="s">
        <v>143</v>
      </c>
      <c r="D12" s="19"/>
      <c r="E12" s="19"/>
      <c r="F12" s="19"/>
      <c r="G12" s="19"/>
      <c r="H12" s="20" t="s">
        <v>50</v>
      </c>
    </row>
    <row r="13" spans="1:8" x14ac:dyDescent="0.2">
      <c r="B13" s="21" t="s">
        <v>61</v>
      </c>
      <c r="C13" s="201" t="s">
        <v>73</v>
      </c>
      <c r="D13" s="201"/>
      <c r="E13" s="201"/>
      <c r="F13" s="201"/>
      <c r="G13" s="201"/>
      <c r="H13" s="23">
        <v>8.9999999999999993E-3</v>
      </c>
    </row>
    <row r="14" spans="1:8" x14ac:dyDescent="0.2">
      <c r="B14" s="21" t="s">
        <v>53</v>
      </c>
      <c r="C14" s="201" t="s">
        <v>72</v>
      </c>
      <c r="D14" s="201"/>
      <c r="E14" s="201"/>
      <c r="F14" s="201"/>
      <c r="G14" s="201"/>
      <c r="H14" s="23">
        <v>8.9999999999999993E-3</v>
      </c>
    </row>
    <row r="15" spans="1:8" x14ac:dyDescent="0.2">
      <c r="B15" s="21" t="s">
        <v>62</v>
      </c>
      <c r="C15" s="201" t="s">
        <v>74</v>
      </c>
      <c r="D15" s="201"/>
      <c r="E15" s="201"/>
      <c r="F15" s="201"/>
      <c r="G15" s="201"/>
      <c r="H15" s="23">
        <v>1.0999999999999999E-2</v>
      </c>
    </row>
    <row r="16" spans="1:8" x14ac:dyDescent="0.2">
      <c r="B16" s="21" t="s">
        <v>63</v>
      </c>
      <c r="C16" s="201" t="s">
        <v>75</v>
      </c>
      <c r="D16" s="201"/>
      <c r="E16" s="201"/>
      <c r="F16" s="201"/>
      <c r="G16" s="201"/>
      <c r="H16" s="23">
        <v>1.0999999999999999E-2</v>
      </c>
    </row>
    <row r="17" spans="1:8" x14ac:dyDescent="0.2">
      <c r="B17" s="21" t="s">
        <v>64</v>
      </c>
      <c r="C17" s="201" t="s">
        <v>76</v>
      </c>
      <c r="D17" s="201"/>
      <c r="E17" s="201"/>
      <c r="F17" s="201"/>
      <c r="G17" s="201"/>
      <c r="H17" s="23">
        <v>1.2999999999999999E-2</v>
      </c>
    </row>
    <row r="18" spans="1:8" x14ac:dyDescent="0.2">
      <c r="B18" s="21" t="s">
        <v>65</v>
      </c>
      <c r="C18" s="201" t="s">
        <v>77</v>
      </c>
      <c r="D18" s="201"/>
      <c r="E18" s="201"/>
      <c r="F18" s="201"/>
      <c r="G18" s="201"/>
      <c r="H18" s="23">
        <v>1.4E-2</v>
      </c>
    </row>
    <row r="19" spans="1:8" x14ac:dyDescent="0.2">
      <c r="B19" s="21" t="s">
        <v>66</v>
      </c>
      <c r="C19" s="201" t="s">
        <v>78</v>
      </c>
      <c r="D19" s="201"/>
      <c r="E19" s="201"/>
      <c r="F19" s="201"/>
      <c r="G19" s="201"/>
      <c r="H19" s="23">
        <v>1.7999999999999999E-2</v>
      </c>
    </row>
    <row r="20" spans="1:8" x14ac:dyDescent="0.2">
      <c r="B20" s="21" t="s">
        <v>67</v>
      </c>
      <c r="C20" s="201" t="s">
        <v>79</v>
      </c>
      <c r="D20" s="201"/>
      <c r="E20" s="201"/>
      <c r="F20" s="201"/>
      <c r="G20" s="201"/>
      <c r="H20" s="23">
        <v>1.7999999999999999E-2</v>
      </c>
    </row>
    <row r="21" spans="1:8" x14ac:dyDescent="0.2">
      <c r="B21" s="21" t="s">
        <v>68</v>
      </c>
      <c r="C21" s="201" t="s">
        <v>80</v>
      </c>
      <c r="D21" s="201"/>
      <c r="E21" s="201"/>
      <c r="F21" s="201"/>
      <c r="G21" s="201"/>
      <c r="H21" s="23">
        <v>2.5000000000000001E-2</v>
      </c>
    </row>
    <row r="22" spans="1:8" x14ac:dyDescent="0.2">
      <c r="B22" s="21" t="s">
        <v>69</v>
      </c>
      <c r="C22" s="201" t="s">
        <v>81</v>
      </c>
      <c r="D22" s="201"/>
      <c r="E22" s="201"/>
      <c r="F22" s="201"/>
      <c r="G22" s="201"/>
      <c r="H22" s="23">
        <v>3.5000000000000003E-2</v>
      </c>
    </row>
    <row r="23" spans="1:8" x14ac:dyDescent="0.2">
      <c r="B23" s="21" t="s">
        <v>70</v>
      </c>
      <c r="C23" s="201" t="s">
        <v>82</v>
      </c>
      <c r="D23" s="201"/>
      <c r="E23" s="201"/>
      <c r="F23" s="201"/>
      <c r="G23" s="201"/>
      <c r="H23" s="23">
        <v>0.06</v>
      </c>
    </row>
    <row r="24" spans="1:8" x14ac:dyDescent="0.2">
      <c r="B24" s="21" t="s">
        <v>71</v>
      </c>
      <c r="C24" s="201" t="s">
        <v>83</v>
      </c>
      <c r="D24" s="201"/>
      <c r="E24" s="201"/>
      <c r="F24" s="201"/>
      <c r="G24" s="201"/>
      <c r="H24" s="23">
        <v>0.08</v>
      </c>
    </row>
    <row r="25" spans="1:8" x14ac:dyDescent="0.2">
      <c r="B25" s="21" t="s">
        <v>85</v>
      </c>
      <c r="C25" s="201" t="s">
        <v>84</v>
      </c>
      <c r="D25" s="201"/>
      <c r="E25" s="201"/>
      <c r="F25" s="201"/>
      <c r="G25" s="201"/>
      <c r="H25" s="23">
        <v>0.14000000000000001</v>
      </c>
    </row>
    <row r="27" spans="1:8" ht="17" thickBot="1" x14ac:dyDescent="0.25">
      <c r="A27" s="8" t="s">
        <v>86</v>
      </c>
      <c r="B27" s="9"/>
      <c r="C27" s="9"/>
      <c r="D27" s="9"/>
      <c r="E27" s="9"/>
      <c r="F27" s="9"/>
      <c r="G27" s="9"/>
      <c r="H27" s="9"/>
    </row>
    <row r="28" spans="1:8" ht="17" thickTop="1" x14ac:dyDescent="0.2"/>
    <row r="29" spans="1:8" x14ac:dyDescent="0.2">
      <c r="A29" s="14" t="s">
        <v>159</v>
      </c>
    </row>
    <row r="30" spans="1:8" x14ac:dyDescent="0.2">
      <c r="A30" s="14"/>
    </row>
    <row r="31" spans="1:8" x14ac:dyDescent="0.2">
      <c r="B31" s="16" t="s">
        <v>107</v>
      </c>
      <c r="C31" s="16"/>
      <c r="D31" s="16"/>
    </row>
    <row r="32" spans="1:8" x14ac:dyDescent="0.2">
      <c r="B32" s="24" t="s">
        <v>109</v>
      </c>
      <c r="C32" s="24" t="s">
        <v>108</v>
      </c>
      <c r="D32" s="19" t="s">
        <v>50</v>
      </c>
    </row>
    <row r="33" spans="1:8" x14ac:dyDescent="0.2">
      <c r="B33" s="17" t="s">
        <v>110</v>
      </c>
      <c r="C33" s="17" t="s">
        <v>111</v>
      </c>
      <c r="D33" s="17" t="s">
        <v>50</v>
      </c>
    </row>
    <row r="35" spans="1:8" x14ac:dyDescent="0.2">
      <c r="A35" s="14" t="s">
        <v>105</v>
      </c>
    </row>
    <row r="37" spans="1:8" ht="34" x14ac:dyDescent="0.2">
      <c r="B37" s="25" t="s">
        <v>87</v>
      </c>
      <c r="C37" s="25" t="s">
        <v>88</v>
      </c>
      <c r="D37" s="25" t="s">
        <v>89</v>
      </c>
      <c r="E37" s="26" t="s">
        <v>102</v>
      </c>
      <c r="F37" s="52" t="s">
        <v>90</v>
      </c>
      <c r="G37" s="53" t="s">
        <v>91</v>
      </c>
      <c r="H37" s="53" t="s">
        <v>92</v>
      </c>
    </row>
    <row r="38" spans="1:8" x14ac:dyDescent="0.2">
      <c r="B38" s="19" t="s">
        <v>93</v>
      </c>
      <c r="C38" s="19" t="s">
        <v>94</v>
      </c>
      <c r="D38" s="19" t="s">
        <v>95</v>
      </c>
      <c r="E38" s="27" t="s">
        <v>103</v>
      </c>
      <c r="F38" s="54" t="s">
        <v>96</v>
      </c>
      <c r="G38" s="55" t="s">
        <v>97</v>
      </c>
      <c r="H38" s="55" t="s">
        <v>98</v>
      </c>
    </row>
    <row r="39" spans="1:8" x14ac:dyDescent="0.2">
      <c r="B39" s="30" t="s">
        <v>99</v>
      </c>
      <c r="C39" s="30" t="s">
        <v>100</v>
      </c>
      <c r="D39" s="30" t="s">
        <v>101</v>
      </c>
      <c r="E39" s="30" t="s">
        <v>104</v>
      </c>
      <c r="F39" s="45" t="e">
        <f>B39*E39+E39^2/2*(C39+D39)</f>
        <v>#VALUE!</v>
      </c>
      <c r="G39" s="41" t="e">
        <f>B39+E39*((1+C39^2)^0.5+(1+D39^2)^0.5)</f>
        <v>#VALUE!</v>
      </c>
      <c r="H39" s="41" t="e">
        <f>F39/G39</f>
        <v>#VALUE!</v>
      </c>
    </row>
    <row r="40" spans="1:8" x14ac:dyDescent="0.2">
      <c r="B40" s="22"/>
      <c r="C40" s="22"/>
      <c r="D40" s="22"/>
      <c r="E40" s="31"/>
      <c r="F40" s="29"/>
      <c r="G40" s="29"/>
      <c r="H40" s="29"/>
    </row>
    <row r="41" spans="1:8" x14ac:dyDescent="0.2">
      <c r="A41" s="14" t="s">
        <v>106</v>
      </c>
    </row>
    <row r="42" spans="1:8" ht="17" thickBot="1" x14ac:dyDescent="0.25"/>
    <row r="43" spans="1:8" ht="17" thickBot="1" x14ac:dyDescent="0.25">
      <c r="B43" s="46" t="s">
        <v>102</v>
      </c>
      <c r="C43" s="46" t="s">
        <v>112</v>
      </c>
      <c r="D43" s="49" t="s">
        <v>114</v>
      </c>
      <c r="E43" s="195" t="s">
        <v>266</v>
      </c>
      <c r="F43" s="196"/>
      <c r="G43" s="196"/>
      <c r="H43" s="197"/>
    </row>
    <row r="44" spans="1:8" ht="18" thickBot="1" x14ac:dyDescent="0.25">
      <c r="B44" s="47" t="s">
        <v>103</v>
      </c>
      <c r="C44" s="47" t="s">
        <v>113</v>
      </c>
      <c r="D44" s="48" t="s">
        <v>47</v>
      </c>
      <c r="E44" s="141" t="s">
        <v>45</v>
      </c>
      <c r="F44" s="142" t="s">
        <v>44</v>
      </c>
      <c r="G44" s="142" t="s">
        <v>43</v>
      </c>
      <c r="H44" s="143" t="s">
        <v>46</v>
      </c>
    </row>
    <row r="45" spans="1:8" ht="19" thickBot="1" x14ac:dyDescent="0.25">
      <c r="B45" s="47" t="str">
        <f>E39</f>
        <v>h</v>
      </c>
      <c r="C45" s="47" t="e">
        <f>1/D33*H39^(2/3)*B33^0.5</f>
        <v>#VALUE!</v>
      </c>
      <c r="D45" s="48" t="e">
        <f>C45*F39</f>
        <v>#VALUE!</v>
      </c>
      <c r="E45" s="144" t="e">
        <f>IF($D$45&lt;'Cálculo Hidrológico'!E43,"NO","SI")</f>
        <v>#VALUE!</v>
      </c>
      <c r="F45" s="145" t="e">
        <f>IF($D$45&lt;'Cálculo Hidrológico'!F43,"NO","SI")</f>
        <v>#VALUE!</v>
      </c>
      <c r="G45" s="145" t="e">
        <f>IF($D$45&lt;'Cálculo Hidrológico'!G43,"NO","SI")</f>
        <v>#VALUE!</v>
      </c>
      <c r="H45" s="146" t="e">
        <f>IF($D$45&lt;'Cálculo Hidrológico'!H43,"NO","SI")</f>
        <v>#VALUE!</v>
      </c>
    </row>
    <row r="46" spans="1:8" x14ac:dyDescent="0.2">
      <c r="B46" s="12"/>
      <c r="C46" s="32"/>
      <c r="D46" s="32"/>
    </row>
    <row r="47" spans="1:8" ht="17" thickBot="1" x14ac:dyDescent="0.25">
      <c r="A47" s="8" t="s">
        <v>115</v>
      </c>
      <c r="B47" s="8"/>
      <c r="C47" s="8"/>
      <c r="D47" s="8"/>
      <c r="E47" s="8"/>
      <c r="F47" s="8"/>
      <c r="G47" s="8"/>
      <c r="H47" s="8"/>
    </row>
    <row r="48" spans="1:8" ht="17" thickTop="1" x14ac:dyDescent="0.2"/>
    <row r="49" spans="1:5" x14ac:dyDescent="0.2">
      <c r="A49" s="3" t="s">
        <v>116</v>
      </c>
    </row>
    <row r="50" spans="1:5" x14ac:dyDescent="0.2">
      <c r="A50" s="3" t="s">
        <v>117</v>
      </c>
    </row>
    <row r="51" spans="1:5" x14ac:dyDescent="0.2">
      <c r="A51" s="3" t="s">
        <v>118</v>
      </c>
    </row>
    <row r="53" spans="1:5" x14ac:dyDescent="0.2">
      <c r="A53" s="3" t="s">
        <v>119</v>
      </c>
      <c r="B53" s="3" t="s">
        <v>120</v>
      </c>
    </row>
    <row r="54" spans="1:5" x14ac:dyDescent="0.2">
      <c r="B54" s="3" t="s">
        <v>121</v>
      </c>
    </row>
    <row r="56" spans="1:5" x14ac:dyDescent="0.2">
      <c r="A56" s="14" t="s">
        <v>159</v>
      </c>
    </row>
    <row r="57" spans="1:5" x14ac:dyDescent="0.2">
      <c r="C57" s="16"/>
      <c r="D57" s="16"/>
      <c r="E57" s="16"/>
    </row>
    <row r="58" spans="1:5" x14ac:dyDescent="0.2">
      <c r="A58" s="33"/>
      <c r="B58" s="34" t="s">
        <v>107</v>
      </c>
      <c r="C58" s="34" t="s">
        <v>108</v>
      </c>
      <c r="D58" s="34" t="s">
        <v>50</v>
      </c>
      <c r="E58" s="35"/>
    </row>
    <row r="59" spans="1:5" x14ac:dyDescent="0.2">
      <c r="A59" s="36"/>
      <c r="B59" s="11" t="s">
        <v>109</v>
      </c>
      <c r="C59" s="11"/>
      <c r="D59" s="11"/>
      <c r="E59" s="34"/>
    </row>
    <row r="60" spans="1:5" x14ac:dyDescent="0.2">
      <c r="A60" s="33" t="s">
        <v>122</v>
      </c>
      <c r="B60" s="37" t="s">
        <v>110</v>
      </c>
      <c r="C60" s="37" t="s">
        <v>111</v>
      </c>
      <c r="D60" s="37" t="s">
        <v>50</v>
      </c>
      <c r="E60" s="34"/>
    </row>
    <row r="61" spans="1:5" x14ac:dyDescent="0.2">
      <c r="A61" s="33" t="s">
        <v>123</v>
      </c>
      <c r="B61" s="37" t="str">
        <f>B60</f>
        <v>i</v>
      </c>
      <c r="C61" s="37" t="s">
        <v>111</v>
      </c>
      <c r="D61" s="37" t="s">
        <v>50</v>
      </c>
      <c r="E61" s="34"/>
    </row>
    <row r="62" spans="1:5" x14ac:dyDescent="0.2">
      <c r="A62" s="33" t="s">
        <v>124</v>
      </c>
      <c r="B62" s="37" t="str">
        <f>B61</f>
        <v>i</v>
      </c>
      <c r="C62" s="37" t="s">
        <v>111</v>
      </c>
      <c r="D62" s="37" t="s">
        <v>50</v>
      </c>
      <c r="E62" s="34"/>
    </row>
    <row r="63" spans="1:5" x14ac:dyDescent="0.2">
      <c r="A63" s="34"/>
      <c r="B63" s="34"/>
      <c r="C63" s="34"/>
      <c r="D63" s="34"/>
      <c r="E63" s="34"/>
    </row>
    <row r="64" spans="1:5" x14ac:dyDescent="0.2">
      <c r="A64" s="38" t="s">
        <v>105</v>
      </c>
      <c r="B64" s="34"/>
      <c r="C64" s="34"/>
      <c r="D64" s="34"/>
      <c r="E64" s="34"/>
    </row>
    <row r="66" spans="1:8" ht="34" x14ac:dyDescent="0.2">
      <c r="A66" s="6" t="s">
        <v>60</v>
      </c>
      <c r="B66" s="25" t="s">
        <v>87</v>
      </c>
      <c r="C66" s="25" t="s">
        <v>88</v>
      </c>
      <c r="D66" s="25" t="s">
        <v>89</v>
      </c>
      <c r="E66" s="26" t="s">
        <v>102</v>
      </c>
      <c r="F66" s="52" t="s">
        <v>90</v>
      </c>
      <c r="G66" s="53" t="s">
        <v>91</v>
      </c>
      <c r="H66" s="53" t="s">
        <v>92</v>
      </c>
    </row>
    <row r="67" spans="1:8" x14ac:dyDescent="0.2">
      <c r="A67" s="10"/>
      <c r="B67" s="19" t="s">
        <v>93</v>
      </c>
      <c r="C67" s="19" t="s">
        <v>94</v>
      </c>
      <c r="D67" s="19" t="s">
        <v>95</v>
      </c>
      <c r="E67" s="27" t="s">
        <v>103</v>
      </c>
      <c r="F67" s="54" t="s">
        <v>96</v>
      </c>
      <c r="G67" s="55" t="s">
        <v>97</v>
      </c>
      <c r="H67" s="55" t="s">
        <v>98</v>
      </c>
    </row>
    <row r="68" spans="1:8" x14ac:dyDescent="0.2">
      <c r="A68" s="6"/>
      <c r="B68" s="22"/>
      <c r="C68" s="22"/>
      <c r="D68" s="22"/>
      <c r="E68" s="22"/>
      <c r="F68" s="28"/>
      <c r="G68" s="29"/>
      <c r="H68" s="29"/>
    </row>
    <row r="69" spans="1:8" x14ac:dyDescent="0.2">
      <c r="A69" s="6" t="s">
        <v>122</v>
      </c>
      <c r="B69" s="30" t="s">
        <v>99</v>
      </c>
      <c r="C69" s="30" t="s">
        <v>100</v>
      </c>
      <c r="D69" s="39">
        <v>0</v>
      </c>
      <c r="E69" s="30" t="s">
        <v>104</v>
      </c>
      <c r="F69" s="28" t="e">
        <f>B69*E69+E69^2/2*(C69+D69)</f>
        <v>#VALUE!</v>
      </c>
      <c r="G69" s="29" t="e">
        <f>B69+E69*((1+C69^2)^0.5)</f>
        <v>#VALUE!</v>
      </c>
      <c r="H69" s="29"/>
    </row>
    <row r="70" spans="1:8" x14ac:dyDescent="0.2">
      <c r="A70" s="6" t="s">
        <v>123</v>
      </c>
      <c r="B70" s="30" t="s">
        <v>99</v>
      </c>
      <c r="C70" s="30" t="s">
        <v>100</v>
      </c>
      <c r="D70" s="30" t="s">
        <v>101</v>
      </c>
      <c r="E70" s="30" t="s">
        <v>104</v>
      </c>
      <c r="F70" s="28" t="e">
        <f>B70*(E70-E69)+(E70-E69)^2/2*(C70+D70)+((E70-E69)*C70+B70+(E70-E69)*D70)*E69</f>
        <v>#VALUE!</v>
      </c>
      <c r="G70" s="29" t="e">
        <f>B70+(E70-E69)*((1+C70^2)^0.5+(1+D70^2)^0.5)</f>
        <v>#VALUE!</v>
      </c>
      <c r="H70" s="29"/>
    </row>
    <row r="71" spans="1:8" x14ac:dyDescent="0.2">
      <c r="A71" s="6" t="s">
        <v>124</v>
      </c>
      <c r="B71" s="30" t="s">
        <v>99</v>
      </c>
      <c r="C71" s="39">
        <v>0</v>
      </c>
      <c r="D71" s="30" t="s">
        <v>101</v>
      </c>
      <c r="E71" s="30" t="str">
        <f>E69</f>
        <v>h</v>
      </c>
      <c r="F71" s="28" t="e">
        <f>B71*E71+E71^2/2*(C71+D71)</f>
        <v>#VALUE!</v>
      </c>
      <c r="G71" s="29" t="e">
        <f>B71+E71*((1+D71^2)^0.5)</f>
        <v>#VALUE!</v>
      </c>
      <c r="H71" s="29"/>
    </row>
    <row r="72" spans="1:8" x14ac:dyDescent="0.2">
      <c r="A72" s="16"/>
      <c r="B72" s="39"/>
      <c r="C72" s="39"/>
      <c r="D72" s="39"/>
      <c r="E72" s="39"/>
      <c r="F72" s="29"/>
      <c r="G72" s="29"/>
      <c r="H72" s="29"/>
    </row>
    <row r="73" spans="1:8" x14ac:dyDescent="0.2">
      <c r="A73" s="16"/>
      <c r="B73" s="39"/>
      <c r="C73" s="39"/>
      <c r="D73" s="39"/>
      <c r="E73" s="40" t="s">
        <v>129</v>
      </c>
      <c r="F73" s="41" t="e">
        <f>SUM(F69:F71)</f>
        <v>#VALUE!</v>
      </c>
      <c r="G73" s="41" t="e">
        <f>SUM(G69:G71)</f>
        <v>#VALUE!</v>
      </c>
      <c r="H73" s="41" t="e">
        <f>F73/G73</f>
        <v>#VALUE!</v>
      </c>
    </row>
    <row r="74" spans="1:8" x14ac:dyDescent="0.2">
      <c r="A74" s="16"/>
      <c r="B74" s="39"/>
      <c r="C74" s="39"/>
      <c r="D74" s="39"/>
      <c r="E74" s="39"/>
      <c r="F74" s="29"/>
      <c r="G74" s="29"/>
      <c r="H74" s="29"/>
    </row>
    <row r="75" spans="1:8" x14ac:dyDescent="0.2">
      <c r="A75" s="42" t="s">
        <v>125</v>
      </c>
      <c r="B75" s="22"/>
      <c r="C75" s="22"/>
      <c r="D75" s="22"/>
      <c r="E75" s="31"/>
      <c r="F75" s="29"/>
      <c r="G75" s="29"/>
      <c r="H75" s="29"/>
    </row>
    <row r="77" spans="1:8" x14ac:dyDescent="0.2">
      <c r="A77" s="14" t="s">
        <v>106</v>
      </c>
    </row>
    <row r="79" spans="1:8" x14ac:dyDescent="0.2">
      <c r="A79" s="3" t="s">
        <v>127</v>
      </c>
      <c r="B79" s="13" t="s">
        <v>128</v>
      </c>
      <c r="C79" s="3" t="e">
        <f>((D60^(3/2)*G69+D61^(3/2)*G70+D62^(3/2)*G71)/G73)^(2/3)</f>
        <v>#VALUE!</v>
      </c>
    </row>
    <row r="80" spans="1:8" ht="17" thickBot="1" x14ac:dyDescent="0.25"/>
    <row r="81" spans="1:9" ht="17" x14ac:dyDescent="0.2">
      <c r="B81" s="50" t="s">
        <v>126</v>
      </c>
      <c r="C81" s="46" t="s">
        <v>112</v>
      </c>
      <c r="D81" s="156" t="s">
        <v>114</v>
      </c>
      <c r="E81" s="198" t="s">
        <v>266</v>
      </c>
      <c r="F81" s="199"/>
      <c r="G81" s="199"/>
      <c r="H81" s="200"/>
    </row>
    <row r="82" spans="1:9" ht="18" thickBot="1" x14ac:dyDescent="0.25">
      <c r="B82" s="47" t="s">
        <v>103</v>
      </c>
      <c r="C82" s="47" t="s">
        <v>113</v>
      </c>
      <c r="D82" s="155" t="s">
        <v>47</v>
      </c>
      <c r="E82" s="161" t="s">
        <v>45</v>
      </c>
      <c r="F82" s="160" t="s">
        <v>44</v>
      </c>
      <c r="G82" s="160" t="s">
        <v>43</v>
      </c>
      <c r="H82" s="162" t="s">
        <v>46</v>
      </c>
    </row>
    <row r="83" spans="1:9" ht="19" thickBot="1" x14ac:dyDescent="0.25">
      <c r="B83" s="47" t="str">
        <f>E70</f>
        <v>h</v>
      </c>
      <c r="C83" s="47" t="e">
        <f>1/C79*H73^(2/3)*B60^0.5</f>
        <v>#VALUE!</v>
      </c>
      <c r="D83" s="151" t="e">
        <f>C83*F73</f>
        <v>#VALUE!</v>
      </c>
      <c r="E83" s="144" t="e">
        <f>IF($D$83&lt;'Cálculo Hidrológico'!E43,"NO","SI")</f>
        <v>#VALUE!</v>
      </c>
      <c r="F83" s="145" t="e">
        <f>IF($D$83&lt;'Cálculo Hidrológico'!F43,"NO","SI")</f>
        <v>#VALUE!</v>
      </c>
      <c r="G83" s="145" t="e">
        <f>IF($D$83&lt;'Cálculo Hidrológico'!G43,"NO","SI")</f>
        <v>#VALUE!</v>
      </c>
      <c r="H83" s="146" t="e">
        <f>IF($D$83&lt;'Cálculo Hidrológico'!H43,"NO","SI")</f>
        <v>#VALUE!</v>
      </c>
    </row>
    <row r="85" spans="1:9" ht="17" thickBot="1" x14ac:dyDescent="0.25">
      <c r="A85" s="8" t="s">
        <v>130</v>
      </c>
      <c r="B85" s="9"/>
      <c r="C85" s="9"/>
      <c r="D85" s="9"/>
      <c r="E85" s="9"/>
      <c r="F85" s="9"/>
      <c r="G85" s="9"/>
      <c r="H85" s="9"/>
      <c r="I85" s="9"/>
    </row>
    <row r="86" spans="1:9" ht="17" thickTop="1" x14ac:dyDescent="0.2"/>
    <row r="87" spans="1:9" x14ac:dyDescent="0.2">
      <c r="A87" s="14" t="s">
        <v>159</v>
      </c>
    </row>
    <row r="89" spans="1:9" x14ac:dyDescent="0.2">
      <c r="B89" s="16" t="s">
        <v>107</v>
      </c>
      <c r="C89" s="16"/>
      <c r="D89" s="16"/>
    </row>
    <row r="90" spans="1:9" x14ac:dyDescent="0.2">
      <c r="B90" s="24" t="s">
        <v>109</v>
      </c>
      <c r="C90" s="24" t="s">
        <v>108</v>
      </c>
      <c r="D90" s="19" t="s">
        <v>50</v>
      </c>
    </row>
    <row r="91" spans="1:9" x14ac:dyDescent="0.2">
      <c r="B91" s="17" t="s">
        <v>110</v>
      </c>
      <c r="C91" s="17" t="s">
        <v>111</v>
      </c>
      <c r="D91" s="17" t="s">
        <v>50</v>
      </c>
    </row>
    <row r="93" spans="1:9" x14ac:dyDescent="0.2">
      <c r="A93" s="14" t="s">
        <v>105</v>
      </c>
    </row>
    <row r="95" spans="1:9" ht="34" x14ac:dyDescent="0.2">
      <c r="B95" s="29" t="s">
        <v>132</v>
      </c>
      <c r="C95" s="21" t="s">
        <v>102</v>
      </c>
      <c r="D95" s="41" t="s">
        <v>90</v>
      </c>
      <c r="E95" s="53" t="s">
        <v>91</v>
      </c>
      <c r="F95" s="53" t="s">
        <v>133</v>
      </c>
    </row>
    <row r="96" spans="1:9" x14ac:dyDescent="0.2">
      <c r="B96" s="19" t="s">
        <v>131</v>
      </c>
      <c r="C96" s="18" t="s">
        <v>103</v>
      </c>
      <c r="D96" s="55" t="s">
        <v>96</v>
      </c>
      <c r="E96" s="56" t="s">
        <v>97</v>
      </c>
      <c r="F96" s="55" t="s">
        <v>98</v>
      </c>
    </row>
    <row r="97" spans="1:9" x14ac:dyDescent="0.2">
      <c r="B97" s="43" t="s">
        <v>134</v>
      </c>
      <c r="C97" s="44" t="s">
        <v>104</v>
      </c>
      <c r="D97" s="51" t="e">
        <f>1/2*(B97/2)^2*(2*ACOS((B97/2-C97)/(B97/2))-SIN(2*ACOS((B97/2-C97)/(B97/2))))</f>
        <v>#VALUE!</v>
      </c>
      <c r="E97" s="51" t="e">
        <f>B97/2*2*ACOS((B97/2-C97)/(B97/2))</f>
        <v>#VALUE!</v>
      </c>
      <c r="F97" s="14" t="e">
        <f>D97/E97</f>
        <v>#VALUE!</v>
      </c>
    </row>
    <row r="99" spans="1:9" x14ac:dyDescent="0.2">
      <c r="A99" s="14" t="s">
        <v>106</v>
      </c>
    </row>
    <row r="100" spans="1:9" ht="17" thickBot="1" x14ac:dyDescent="0.25"/>
    <row r="101" spans="1:9" ht="17" thickBot="1" x14ac:dyDescent="0.25">
      <c r="A101" s="46" t="s">
        <v>102</v>
      </c>
      <c r="B101" s="46" t="s">
        <v>112</v>
      </c>
      <c r="C101" s="46" t="s">
        <v>268</v>
      </c>
      <c r="D101" s="46" t="s">
        <v>269</v>
      </c>
      <c r="E101" s="46" t="s">
        <v>270</v>
      </c>
      <c r="F101" s="195" t="s">
        <v>266</v>
      </c>
      <c r="G101" s="196"/>
      <c r="H101" s="196"/>
      <c r="I101" s="197"/>
    </row>
    <row r="102" spans="1:9" ht="18" thickBot="1" x14ac:dyDescent="0.25">
      <c r="A102" s="47" t="s">
        <v>103</v>
      </c>
      <c r="B102" s="47" t="s">
        <v>113</v>
      </c>
      <c r="C102" s="47" t="s">
        <v>47</v>
      </c>
      <c r="D102" s="47" t="s">
        <v>271</v>
      </c>
      <c r="E102" s="47" t="s">
        <v>47</v>
      </c>
      <c r="F102" s="152" t="s">
        <v>45</v>
      </c>
      <c r="G102" s="153" t="s">
        <v>44</v>
      </c>
      <c r="H102" s="153" t="s">
        <v>43</v>
      </c>
      <c r="I102" s="154" t="s">
        <v>46</v>
      </c>
    </row>
    <row r="103" spans="1:9" ht="19" thickBot="1" x14ac:dyDescent="0.25">
      <c r="A103" s="47" t="str">
        <f>C97</f>
        <v>h</v>
      </c>
      <c r="B103" s="47" t="e">
        <f>1/D91*F97^(2/3)*B91^0.5</f>
        <v>#VALUE!</v>
      </c>
      <c r="C103" s="163" t="e">
        <f>B103*D97</f>
        <v>#VALUE!</v>
      </c>
      <c r="D103" s="164">
        <v>2</v>
      </c>
      <c r="E103" s="163" t="e">
        <f>C103*D103</f>
        <v>#VALUE!</v>
      </c>
      <c r="F103" s="157" t="e">
        <f>IF($E$103&lt;'Cálculo Hidrológico'!E43,"NO","SI")</f>
        <v>#VALUE!</v>
      </c>
      <c r="G103" s="158" t="e">
        <f>IF($E$103&lt;'Cálculo Hidrológico'!F43,"NO","SI")</f>
        <v>#VALUE!</v>
      </c>
      <c r="H103" s="158" t="e">
        <f>IF($E$103&lt;'Cálculo Hidrológico'!G43,"NO","SI")</f>
        <v>#VALUE!</v>
      </c>
      <c r="I103" s="159" t="e">
        <f>IF($E$103&lt;'Cálculo Hidrológico'!H43,"NO","SI")</f>
        <v>#VALUE!</v>
      </c>
    </row>
  </sheetData>
  <mergeCells count="16">
    <mergeCell ref="C13:G13"/>
    <mergeCell ref="C21:G21"/>
    <mergeCell ref="C22:G22"/>
    <mergeCell ref="C23:G23"/>
    <mergeCell ref="C17:G17"/>
    <mergeCell ref="C18:G18"/>
    <mergeCell ref="C19:G19"/>
    <mergeCell ref="C20:G20"/>
    <mergeCell ref="C14:G14"/>
    <mergeCell ref="C15:G15"/>
    <mergeCell ref="F101:I101"/>
    <mergeCell ref="E81:H81"/>
    <mergeCell ref="C16:G16"/>
    <mergeCell ref="C25:G25"/>
    <mergeCell ref="C24:G24"/>
    <mergeCell ref="E43:H43"/>
  </mergeCells>
  <phoneticPr fontId="0" type="noConversion"/>
  <conditionalFormatting sqref="E83:H83 E45:H45 F103:I103">
    <cfRule type="cellIs" dxfId="1" priority="1" stopIfTrue="1" operator="equal">
      <formula>"SI"</formula>
    </cfRule>
    <cfRule type="cellIs" dxfId="0" priority="2" stopIfTrue="1" operator="equal">
      <formula>"NO"</formula>
    </cfRule>
  </conditionalFormatting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3</vt:i4>
      </vt:variant>
    </vt:vector>
  </HeadingPairs>
  <TitlesOfParts>
    <vt:vector size="10" baseType="lpstr">
      <vt:lpstr>Datos de la cuenca</vt:lpstr>
      <vt:lpstr>Mapa Isolíneas</vt:lpstr>
      <vt:lpstr>Tabla 7.1 Máximas lluvias</vt:lpstr>
      <vt:lpstr>Táblas 2.1 Instrucción 5.2.IC</vt:lpstr>
      <vt:lpstr>Tabla 2.2 Instrucción 5.2.IC</vt:lpstr>
      <vt:lpstr>Cálculo Hidrológico</vt:lpstr>
      <vt:lpstr>Cálculo Hidráulico</vt:lpstr>
      <vt:lpstr>'Táblas 2.1 Instrucción 5.2.IC'!TABLE</vt:lpstr>
      <vt:lpstr>'Táblas 2.1 Instrucción 5.2.IC'!TABLE_2</vt:lpstr>
      <vt:lpstr>'Táblas 2.1 Instrucción 5.2.IC'!TABLE_3</vt:lpstr>
    </vt:vector>
  </TitlesOfParts>
  <Company>Confederación Hidrográfica del Guadalquivir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APARTADO 2</dc:title>
  <dc:creator>Emilio Sevilla Ortego</dc:creator>
  <cp:lastModifiedBy>Sevilla Ortego, Emilio</cp:lastModifiedBy>
  <dcterms:created xsi:type="dcterms:W3CDTF">2006-02-08T08:33:16Z</dcterms:created>
  <dcterms:modified xsi:type="dcterms:W3CDTF">2025-03-11T11:53:42Z</dcterms:modified>
</cp:coreProperties>
</file>