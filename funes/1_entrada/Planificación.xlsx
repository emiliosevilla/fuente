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iosevillaortego/Documents/OPOSICIÓN CAMINOS/OEP 2023-2024/General/"/>
    </mc:Choice>
  </mc:AlternateContent>
  <xr:revisionPtr revIDLastSave="0" documentId="13_ncr:1_{2E2D5705-9141-6646-8382-D569ED8ED82D}" xr6:coauthVersionLast="47" xr6:coauthVersionMax="47" xr10:uidLastSave="{00000000-0000-0000-0000-000000000000}"/>
  <bookViews>
    <workbookView xWindow="80" yWindow="620" windowWidth="25440" windowHeight="15320" xr2:uid="{812CCC13-7ED7-0C4C-8003-D56F99556CF1}"/>
  </bookViews>
  <sheets>
    <sheet name="Sheet1" sheetId="1" r:id="rId1"/>
  </sheets>
  <definedNames>
    <definedName name="temas">Sheet1!$H$8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 s="1"/>
  <c r="F13" i="1" s="1"/>
  <c r="D14" i="1"/>
  <c r="E14" i="1" s="1"/>
  <c r="F14" i="1" s="1"/>
  <c r="D15" i="1"/>
  <c r="E15" i="1" s="1"/>
  <c r="F15" i="1" s="1"/>
  <c r="D12" i="1"/>
  <c r="E12" i="1" s="1"/>
  <c r="F12" i="1" s="1"/>
  <c r="C4" i="1"/>
  <c r="C3" i="1"/>
  <c r="G12" i="1" s="1"/>
  <c r="H12" i="1" s="1"/>
  <c r="G6" i="1"/>
  <c r="G5" i="1"/>
  <c r="G4" i="1"/>
  <c r="G13" i="1" l="1"/>
  <c r="H13" i="1" s="1"/>
  <c r="G14" i="1" s="1"/>
  <c r="H14" i="1" s="1"/>
  <c r="G15" i="1" s="1"/>
  <c r="H15" i="1" s="1"/>
  <c r="C6" i="1"/>
  <c r="F17" i="1"/>
</calcChain>
</file>

<file path=xl/sharedStrings.xml><?xml version="1.0" encoding="utf-8"?>
<sst xmlns="http://schemas.openxmlformats.org/spreadsheetml/2006/main" count="21" uniqueCount="20">
  <si>
    <t>fecha inicio</t>
  </si>
  <si>
    <t>fecha examen</t>
  </si>
  <si>
    <t>nº semanas</t>
  </si>
  <si>
    <t>1ª vuelta</t>
  </si>
  <si>
    <t>2ª vuelta</t>
  </si>
  <si>
    <t>3ª vuelta</t>
  </si>
  <si>
    <t>nº temas/día</t>
  </si>
  <si>
    <t>nº días/semana</t>
  </si>
  <si>
    <t>bloque</t>
  </si>
  <si>
    <t>nº temas programa</t>
  </si>
  <si>
    <t>nº temas estudio</t>
  </si>
  <si>
    <t>Aguas + Costas</t>
  </si>
  <si>
    <t>Transportes + Mediambiente</t>
  </si>
  <si>
    <t>Carreteras + Ferrocarriles</t>
  </si>
  <si>
    <t>semana del año</t>
  </si>
  <si>
    <t>nº días estudio</t>
  </si>
  <si>
    <t>4ª vuelta</t>
  </si>
  <si>
    <t>nº días redondo</t>
  </si>
  <si>
    <t>semana inicio</t>
  </si>
  <si>
    <t>semana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</si>
</sst>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0887-D87B-C644-9F17-41CDC93D2C41}">
  <dimension ref="A2:H17"/>
  <sheetViews>
    <sheetView tabSelected="1" zoomScale="150" zoomScaleNormal="150" workbookViewId="0">
      <selection activeCell="B6" sqref="B6"/>
    </sheetView>
  </sheetViews>
  <sheetFormatPr baseColWidth="10" defaultRowHeight="16" x14ac:dyDescent="0.2"/>
  <cols>
    <col min="1" max="1" width="12.33203125" bestFit="1" customWidth="1"/>
    <col min="2" max="2" width="15" customWidth="1"/>
    <col min="3" max="3" width="13.6640625" bestFit="1" customWidth="1"/>
    <col min="4" max="4" width="12.1640625" bestFit="1" customWidth="1"/>
    <col min="5" max="5" width="13.6640625" customWidth="1"/>
    <col min="6" max="6" width="11.5" customWidth="1"/>
    <col min="7" max="7" width="18.1640625" customWidth="1"/>
    <col min="8" max="8" width="12.1640625" customWidth="1"/>
  </cols>
  <sheetData>
    <row r="2" spans="1:8" x14ac:dyDescent="0.2">
      <c r="C2" t="s">
        <v>14</v>
      </c>
    </row>
    <row r="3" spans="1:8" x14ac:dyDescent="0.2">
      <c r="A3" t="s">
        <v>0</v>
      </c>
      <c r="B3" s="1">
        <v>45691</v>
      </c>
      <c r="C3">
        <f>WEEKNUM(B3,2)</f>
        <v>6</v>
      </c>
      <c r="E3" t="s">
        <v>8</v>
      </c>
      <c r="G3" t="s">
        <v>9</v>
      </c>
      <c r="H3" t="s">
        <v>10</v>
      </c>
    </row>
    <row r="4" spans="1:8" x14ac:dyDescent="0.2">
      <c r="A4" t="s">
        <v>1</v>
      </c>
      <c r="B4" s="2">
        <v>45906</v>
      </c>
      <c r="C4">
        <f>WEEKNUM(B4,2)</f>
        <v>36</v>
      </c>
      <c r="E4" t="s">
        <v>11</v>
      </c>
      <c r="G4">
        <f>28+20</f>
        <v>48</v>
      </c>
      <c r="H4" s="3">
        <v>48</v>
      </c>
    </row>
    <row r="5" spans="1:8" x14ac:dyDescent="0.2">
      <c r="C5" t="s">
        <v>2</v>
      </c>
      <c r="E5" t="s">
        <v>13</v>
      </c>
      <c r="G5">
        <f>24+22</f>
        <v>46</v>
      </c>
      <c r="H5" s="3">
        <v>46</v>
      </c>
    </row>
    <row r="6" spans="1:8" x14ac:dyDescent="0.2">
      <c r="C6">
        <f>C4-C3</f>
        <v>30</v>
      </c>
      <c r="E6" t="s">
        <v>12</v>
      </c>
      <c r="G6">
        <f>21+15</f>
        <v>36</v>
      </c>
      <c r="H6" s="3">
        <v>36</v>
      </c>
    </row>
    <row r="8" spans="1:8" x14ac:dyDescent="0.2">
      <c r="H8">
        <v>130</v>
      </c>
    </row>
    <row r="11" spans="1:8" x14ac:dyDescent="0.2">
      <c r="B11" t="s">
        <v>6</v>
      </c>
      <c r="C11" t="s">
        <v>7</v>
      </c>
      <c r="D11" t="s">
        <v>15</v>
      </c>
      <c r="E11" t="s">
        <v>17</v>
      </c>
      <c r="F11" t="s">
        <v>2</v>
      </c>
      <c r="G11" t="s">
        <v>18</v>
      </c>
      <c r="H11" t="s">
        <v>19</v>
      </c>
    </row>
    <row r="12" spans="1:8" x14ac:dyDescent="0.2">
      <c r="A12" t="s">
        <v>3</v>
      </c>
      <c r="B12" s="3">
        <v>2</v>
      </c>
      <c r="C12" s="3">
        <v>4</v>
      </c>
      <c r="D12">
        <f>temas/B12</f>
        <v>65</v>
      </c>
      <c r="E12">
        <f>IF(INT(D12)&lt;D12,(INT(D12)+1),D12)</f>
        <v>65</v>
      </c>
      <c r="F12">
        <f>E12/C12</f>
        <v>16.25</v>
      </c>
      <c r="G12" s="4">
        <f>C3</f>
        <v>6</v>
      </c>
      <c r="H12" s="4">
        <f>G12+F12</f>
        <v>22.25</v>
      </c>
    </row>
    <row r="13" spans="1:8" x14ac:dyDescent="0.2">
      <c r="A13" t="s">
        <v>4</v>
      </c>
      <c r="B13" s="3">
        <v>4</v>
      </c>
      <c r="C13" s="3">
        <v>5</v>
      </c>
      <c r="D13">
        <f>temas/B13</f>
        <v>32.5</v>
      </c>
      <c r="E13">
        <f t="shared" ref="E13:G15" si="0">IF(INT(D13)&lt;D13,(INT(D13)+1),D13)</f>
        <v>33</v>
      </c>
      <c r="F13">
        <f t="shared" ref="F13:F15" si="1">E13/C13</f>
        <v>6.6</v>
      </c>
      <c r="G13" s="4">
        <f>H12</f>
        <v>22.25</v>
      </c>
      <c r="H13" s="4">
        <f t="shared" ref="H13:H15" si="2">G13+F13</f>
        <v>28.85</v>
      </c>
    </row>
    <row r="14" spans="1:8" x14ac:dyDescent="0.2">
      <c r="A14" t="s">
        <v>5</v>
      </c>
      <c r="B14" s="3">
        <v>6</v>
      </c>
      <c r="C14" s="3">
        <v>5</v>
      </c>
      <c r="D14">
        <f>temas/B14</f>
        <v>21.666666666666668</v>
      </c>
      <c r="E14">
        <f t="shared" si="0"/>
        <v>22</v>
      </c>
      <c r="F14">
        <f t="shared" si="1"/>
        <v>4.4000000000000004</v>
      </c>
      <c r="G14" s="4">
        <f t="shared" ref="G14:G15" si="3">H13</f>
        <v>28.85</v>
      </c>
      <c r="H14" s="4">
        <f t="shared" si="2"/>
        <v>33.25</v>
      </c>
    </row>
    <row r="15" spans="1:8" x14ac:dyDescent="0.2">
      <c r="A15" t="s">
        <v>16</v>
      </c>
      <c r="B15" s="3">
        <v>8</v>
      </c>
      <c r="C15" s="3">
        <v>6</v>
      </c>
      <c r="D15">
        <f>temas/B15</f>
        <v>16.25</v>
      </c>
      <c r="E15">
        <f t="shared" si="0"/>
        <v>17</v>
      </c>
      <c r="F15">
        <f t="shared" si="1"/>
        <v>2.8333333333333335</v>
      </c>
      <c r="G15" s="4">
        <f t="shared" si="3"/>
        <v>33.25</v>
      </c>
      <c r="H15" s="4">
        <f t="shared" si="2"/>
        <v>36.083333333333336</v>
      </c>
    </row>
    <row r="17" spans="6:6" x14ac:dyDescent="0.2">
      <c r="F17">
        <f>SUM(F12:F15)</f>
        <v>30.083333333333332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Sevilla Ortego, Emilio</dc:creator>
  <cp:lastModifiedBy>Sevilla Ortego, Emilio</cp:lastModifiedBy>
  <dcterms:created xsi:type="dcterms:W3CDTF">2025-01-28T17:31:22Z</dcterms:created>
  <dcterms:modified xsi:type="dcterms:W3CDTF">2025-01-28T19:39:50Z</dcterms:modified>
</cp:coreProperties>
</file>